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12DD4FA6-B469-49A8-BDEF-46F85CDD3E6E}" xr6:coauthVersionLast="47" xr6:coauthVersionMax="47" xr10:uidLastSave="{00000000-0000-0000-0000-000000000000}"/>
  <bookViews>
    <workbookView xWindow="-23148" yWindow="-1428" windowWidth="23256" windowHeight="13896" xr2:uid="{3684813E-57AF-46B3-9727-1D3F311BE38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J35" i="1"/>
  <c r="G36" i="1"/>
  <c r="G35" i="1"/>
  <c r="D32" i="1" l="1"/>
  <c r="D43" i="1" s="1"/>
  <c r="C43" i="1"/>
  <c r="I32" i="1"/>
  <c r="I43" i="1" s="1"/>
  <c r="J17" i="1"/>
  <c r="J16" i="1"/>
  <c r="F32" i="1"/>
  <c r="E32" i="1"/>
  <c r="F29" i="1"/>
  <c r="G29" i="1" s="1"/>
  <c r="J29" i="1" s="1"/>
  <c r="F33" i="1"/>
  <c r="G33" i="1" s="1"/>
  <c r="J33" i="1" s="1"/>
  <c r="E10" i="1"/>
  <c r="E5" i="1"/>
  <c r="G5" i="1" s="1"/>
  <c r="J5" i="1" s="1"/>
  <c r="F6" i="1"/>
  <c r="G6" i="1" s="1"/>
  <c r="J6" i="1" s="1"/>
  <c r="F26" i="1"/>
  <c r="E26" i="1"/>
  <c r="G26" i="1" s="1"/>
  <c r="J26" i="1" s="1"/>
  <c r="E4" i="1"/>
  <c r="G4" i="1" s="1"/>
  <c r="J4" i="1" s="1"/>
  <c r="F24" i="1"/>
  <c r="G24" i="1" s="1"/>
  <c r="J24" i="1" s="1"/>
  <c r="E25" i="1"/>
  <c r="E27" i="1"/>
  <c r="G27" i="1" s="1"/>
  <c r="J27" i="1" s="1"/>
  <c r="F11" i="1"/>
  <c r="F43" i="1" s="1"/>
  <c r="E11" i="1"/>
  <c r="E43" i="1" s="1"/>
  <c r="F22" i="1"/>
  <c r="F31" i="1"/>
  <c r="G31" i="1" s="1"/>
  <c r="J31" i="1" s="1"/>
  <c r="F28" i="1"/>
  <c r="G28" i="1" s="1"/>
  <c r="J28" i="1" s="1"/>
  <c r="F18" i="1"/>
  <c r="E18" i="1"/>
  <c r="G20" i="1"/>
  <c r="J20" i="1" s="1"/>
  <c r="G21" i="1"/>
  <c r="J21" i="1" s="1"/>
  <c r="G22" i="1"/>
  <c r="J22" i="1" s="1"/>
  <c r="G23" i="1"/>
  <c r="J23" i="1" s="1"/>
  <c r="G25" i="1"/>
  <c r="J25" i="1" s="1"/>
  <c r="G30" i="1"/>
  <c r="J30" i="1" s="1"/>
  <c r="G34" i="1"/>
  <c r="J34" i="1" s="1"/>
  <c r="J36" i="1"/>
  <c r="G37" i="1"/>
  <c r="J37" i="1" s="1"/>
  <c r="G38" i="1"/>
  <c r="J38" i="1" s="1"/>
  <c r="G39" i="1"/>
  <c r="J39" i="1" s="1"/>
  <c r="G40" i="1"/>
  <c r="J40" i="1" s="1"/>
  <c r="G41" i="1"/>
  <c r="J41" i="1" s="1"/>
  <c r="G19" i="1"/>
  <c r="J19" i="1" s="1"/>
  <c r="G17" i="1"/>
  <c r="G16" i="1"/>
  <c r="G15" i="1"/>
  <c r="J15" i="1" s="1"/>
  <c r="G14" i="1"/>
  <c r="J14" i="1" s="1"/>
  <c r="G13" i="1"/>
  <c r="J13" i="1" s="1"/>
  <c r="G12" i="1"/>
  <c r="J12" i="1" s="1"/>
  <c r="G11" i="1"/>
  <c r="J11" i="1" s="1"/>
  <c r="G10" i="1"/>
  <c r="J10" i="1" s="1"/>
  <c r="G9" i="1"/>
  <c r="J9" i="1" s="1"/>
  <c r="G8" i="1"/>
  <c r="J8" i="1" s="1"/>
  <c r="J3" i="1"/>
  <c r="G7" i="1"/>
  <c r="J7" i="1" s="1"/>
  <c r="G32" i="1" l="1"/>
  <c r="G18" i="1"/>
  <c r="J18" i="1" s="1"/>
  <c r="J32" i="1"/>
  <c r="G43" i="1" l="1"/>
  <c r="J43" i="1" s="1"/>
</calcChain>
</file>

<file path=xl/sharedStrings.xml><?xml version="1.0" encoding="utf-8"?>
<sst xmlns="http://schemas.openxmlformats.org/spreadsheetml/2006/main" count="49" uniqueCount="49">
  <si>
    <t>Hastings College Property Assessment Summary</t>
  </si>
  <si>
    <t>Building Number</t>
  </si>
  <si>
    <t>Building Name</t>
  </si>
  <si>
    <t>Deferred Maintenance Cost</t>
  </si>
  <si>
    <t>Roofing Cost</t>
  </si>
  <si>
    <t>Mechanical Cost</t>
  </si>
  <si>
    <t>Parking Cost</t>
  </si>
  <si>
    <t>Total</t>
  </si>
  <si>
    <t>Spreadsheet Total</t>
  </si>
  <si>
    <t>Diff</t>
  </si>
  <si>
    <t>Admissions-Daugherty Student Engagement Center</t>
  </si>
  <si>
    <t>Hurley-McDonald Hall</t>
  </si>
  <si>
    <t>Perkins Library</t>
  </si>
  <si>
    <t>Kiewit Building</t>
  </si>
  <si>
    <t>706 E 7th St Residence</t>
  </si>
  <si>
    <t>710 E 7th St Residence</t>
  </si>
  <si>
    <t>714 E 7th St Residence</t>
  </si>
  <si>
    <t>Morrison-Reeves Science Center</t>
  </si>
  <si>
    <t>Calvin H. French Memorila Chapel</t>
  </si>
  <si>
    <t>The Stone Health Center</t>
  </si>
  <si>
    <t>Babcock Hall Co-ed Residence</t>
  </si>
  <si>
    <t>Taylor Hall Women's Residence</t>
  </si>
  <si>
    <t>Wilson Center</t>
  </si>
  <si>
    <t>McCormick Hall</t>
  </si>
  <si>
    <t>Scott Studio Theatre</t>
  </si>
  <si>
    <t>Altman Hall Co-ed First-Year Residence</t>
  </si>
  <si>
    <t>Batchelder General Serices</t>
  </si>
  <si>
    <t>Batchelder Garage</t>
  </si>
  <si>
    <t>Campus Safety</t>
  </si>
  <si>
    <t>Bronc Hall Men's Residence</t>
  </si>
  <si>
    <t>MacKay House 603 E 9th St</t>
  </si>
  <si>
    <t>Hazelrigg Student Union</t>
  </si>
  <si>
    <t>Gray Center</t>
  </si>
  <si>
    <t>Jackson Dinsdale Art Center</t>
  </si>
  <si>
    <t>Hayes M Fuhr Hall of Music</t>
  </si>
  <si>
    <t>Lynn Farrell Arena</t>
  </si>
  <si>
    <t>Lloyd Wilson Field-Stadium</t>
  </si>
  <si>
    <t>Jack Osborne Track Complex</t>
  </si>
  <si>
    <t>Barrett Alumni Center</t>
  </si>
  <si>
    <t>Bronco Village Apartments</t>
  </si>
  <si>
    <t>Physical Fitness Facility</t>
  </si>
  <si>
    <t>Physical Fitness Facility Garage</t>
  </si>
  <si>
    <t>Observatory</t>
  </si>
  <si>
    <t>Bronco Bikes</t>
  </si>
  <si>
    <t>607 E 9th St Residence</t>
  </si>
  <si>
    <t>611 E 9th St Residence</t>
  </si>
  <si>
    <t>905 N Elm Ave Residence</t>
  </si>
  <si>
    <t>812 N Ash Ave Residence</t>
  </si>
  <si>
    <t>906 E 9th St Residence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</si>
</sst>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4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164" fontId="0" fillId="0" borderId="1" xfId="0" applyNumberFormat="1" applyBorder="1"/>
    <xf numFmtId="0" fontId="0" fillId="0" borderId="2" xfId="0" applyBorder="1"/>
    <xf numFmtId="164" fontId="0" fillId="0" borderId="2" xfId="0" applyNumberFormat="1" applyBorder="1"/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1" fillId="0" borderId="2" xfId="0" applyFont="1" applyBorder="1"/>
    <xf numFmtId="164" fontId="5" fillId="0" borderId="0" xfId="0" applyNumberFormat="1" applyFont="1"/>
    <xf numFmtId="0" fontId="6" fillId="0" borderId="0" xfId="0" applyFont="1"/>
    <xf numFmtId="164" fontId="6" fillId="0" borderId="0" xfId="0" applyNumberFormat="1" applyFont="1"/>
    <xf numFmtId="164" fontId="7" fillId="0" borderId="0" xfId="0" applyNumberFormat="1" applyFont="1"/>
    <xf numFmtId="0" fontId="3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right" vertical="center"/>
    </xf>
    <xf numFmtId="0" fontId="0" fillId="0" borderId="9" xfId="0" applyBorder="1" applyAlignment="1">
      <alignment horizontal="center"/>
    </xf>
    <xf numFmtId="164" fontId="7" fillId="0" borderId="10" xfId="0" applyNumberFormat="1" applyFont="1" applyBorder="1"/>
    <xf numFmtId="0" fontId="0" fillId="0" borderId="11" xfId="0" applyBorder="1" applyAlignment="1">
      <alignment horizontal="center"/>
    </xf>
    <xf numFmtId="164" fontId="7" fillId="0" borderId="12" xfId="0" applyNumberFormat="1" applyFont="1" applyBorder="1"/>
    <xf numFmtId="0" fontId="0" fillId="0" borderId="13" xfId="0" applyBorder="1" applyAlignment="1">
      <alignment horizontal="center"/>
    </xf>
    <xf numFmtId="0" fontId="0" fillId="0" borderId="14" xfId="0" applyBorder="1"/>
    <xf numFmtId="164" fontId="0" fillId="0" borderId="14" xfId="0" applyNumberFormat="1" applyBorder="1"/>
    <xf numFmtId="164" fontId="7" fillId="0" borderId="15" xfId="0" applyNumberFormat="1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E30A8-26E6-4962-8B81-1F17FBE534AF}">
  <dimension ref="A1:J59"/>
  <sheetViews>
    <sheetView tabSelected="1" zoomScale="90" zoomScaleNormal="90" workbookViewId="0">
      <selection activeCell="L6" sqref="L6"/>
    </sheetView>
  </sheetViews>
  <sheetFormatPr defaultRowHeight="15" x14ac:dyDescent="0.25"/>
  <cols>
    <col min="1" max="1" width="10.7109375" style="2" customWidth="1"/>
    <col min="2" max="2" width="40.7109375" customWidth="1"/>
    <col min="3" max="7" width="25.7109375" customWidth="1"/>
    <col min="8" max="8" width="3.140625" customWidth="1"/>
    <col min="9" max="10" width="20.7109375" hidden="1" customWidth="1"/>
    <col min="11" max="15" width="20.7109375" customWidth="1"/>
  </cols>
  <sheetData>
    <row r="1" spans="1:10" ht="50.1" customHeight="1" thickTop="1" thickBot="1" x14ac:dyDescent="0.3">
      <c r="A1" s="26" t="s">
        <v>0</v>
      </c>
      <c r="B1" s="27"/>
      <c r="C1" s="27"/>
      <c r="D1" s="27"/>
      <c r="E1" s="27"/>
      <c r="F1" s="27"/>
      <c r="G1" s="28"/>
    </row>
    <row r="2" spans="1:10" ht="39.950000000000003" customHeight="1" thickBot="1" x14ac:dyDescent="0.3">
      <c r="A2" s="16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17" t="s">
        <v>7</v>
      </c>
      <c r="I2" s="9" t="s">
        <v>8</v>
      </c>
      <c r="J2" s="9" t="s">
        <v>9</v>
      </c>
    </row>
    <row r="3" spans="1:10" ht="30" customHeight="1" x14ac:dyDescent="0.25">
      <c r="A3" s="18">
        <v>1</v>
      </c>
      <c r="B3" s="3" t="s">
        <v>10</v>
      </c>
      <c r="C3" s="4">
        <v>128097</v>
      </c>
      <c r="D3" s="4">
        <v>226440.44</v>
      </c>
      <c r="E3" s="4">
        <v>35442</v>
      </c>
      <c r="F3" s="4">
        <v>0</v>
      </c>
      <c r="G3" s="19">
        <f>SUM(C3:F3)</f>
        <v>389979.44</v>
      </c>
      <c r="I3" s="10">
        <v>487355.44</v>
      </c>
      <c r="J3" s="10">
        <f t="shared" ref="J3:J41" si="0">I3-G3</f>
        <v>97376</v>
      </c>
    </row>
    <row r="4" spans="1:10" ht="30" customHeight="1" x14ac:dyDescent="0.25">
      <c r="A4" s="20">
        <v>2</v>
      </c>
      <c r="B4" s="5" t="s">
        <v>11</v>
      </c>
      <c r="C4" s="6">
        <v>618795.5</v>
      </c>
      <c r="D4" s="6">
        <v>344303.47</v>
      </c>
      <c r="E4" s="6">
        <f>776+67308.33+161327</f>
        <v>229411.33000000002</v>
      </c>
      <c r="F4" s="6">
        <v>0</v>
      </c>
      <c r="G4" s="21">
        <f t="shared" ref="G4:G41" si="1">SUM(C4:F4)</f>
        <v>1192510.3</v>
      </c>
      <c r="I4" s="10">
        <v>1307886.3</v>
      </c>
      <c r="J4" s="10">
        <f t="shared" si="0"/>
        <v>115376</v>
      </c>
    </row>
    <row r="5" spans="1:10" ht="30" customHeight="1" x14ac:dyDescent="0.25">
      <c r="A5" s="20">
        <v>3</v>
      </c>
      <c r="B5" s="5" t="s">
        <v>12</v>
      </c>
      <c r="C5" s="6">
        <v>180558</v>
      </c>
      <c r="D5" s="6">
        <v>517964.41</v>
      </c>
      <c r="E5" s="6">
        <f>776+32833.33+57156</f>
        <v>90765.33</v>
      </c>
      <c r="F5" s="6">
        <v>0</v>
      </c>
      <c r="G5" s="21">
        <f t="shared" si="1"/>
        <v>789287.73999999987</v>
      </c>
      <c r="I5" s="10">
        <v>886663.74</v>
      </c>
      <c r="J5" s="10">
        <f t="shared" si="0"/>
        <v>97376.000000000116</v>
      </c>
    </row>
    <row r="6" spans="1:10" ht="30" customHeight="1" x14ac:dyDescent="0.25">
      <c r="A6" s="20">
        <v>4</v>
      </c>
      <c r="B6" s="5" t="s">
        <v>13</v>
      </c>
      <c r="C6" s="6">
        <v>150779.6</v>
      </c>
      <c r="D6" s="6">
        <v>2301621.66</v>
      </c>
      <c r="E6" s="6">
        <v>127451</v>
      </c>
      <c r="F6" s="6">
        <f>52266.67+970.67</f>
        <v>53237.34</v>
      </c>
      <c r="G6" s="21">
        <f t="shared" si="1"/>
        <v>2633089.6</v>
      </c>
      <c r="I6" s="10">
        <v>2644089.59</v>
      </c>
      <c r="J6" s="10">
        <f t="shared" si="0"/>
        <v>10999.989999999758</v>
      </c>
    </row>
    <row r="7" spans="1:10" ht="30" customHeight="1" x14ac:dyDescent="0.25">
      <c r="A7" s="20">
        <v>5</v>
      </c>
      <c r="B7" s="5" t="s">
        <v>14</v>
      </c>
      <c r="C7" s="6">
        <v>5000</v>
      </c>
      <c r="D7" s="6">
        <v>7778.4</v>
      </c>
      <c r="E7" s="6">
        <v>0</v>
      </c>
      <c r="F7" s="6">
        <v>0</v>
      </c>
      <c r="G7" s="21">
        <f t="shared" si="1"/>
        <v>12778.4</v>
      </c>
      <c r="I7" s="10">
        <v>12778.4</v>
      </c>
      <c r="J7" s="10">
        <f t="shared" si="0"/>
        <v>0</v>
      </c>
    </row>
    <row r="8" spans="1:10" ht="30" customHeight="1" x14ac:dyDescent="0.25">
      <c r="A8" s="20">
        <v>6</v>
      </c>
      <c r="B8" s="5" t="s">
        <v>15</v>
      </c>
      <c r="C8" s="6">
        <v>5000</v>
      </c>
      <c r="D8" s="6">
        <v>8453.76</v>
      </c>
      <c r="E8" s="6">
        <v>0</v>
      </c>
      <c r="F8" s="6">
        <v>0</v>
      </c>
      <c r="G8" s="21">
        <f t="shared" si="1"/>
        <v>13453.76</v>
      </c>
      <c r="I8" s="10">
        <v>24453.759999999998</v>
      </c>
      <c r="J8" s="10">
        <f t="shared" si="0"/>
        <v>10999.999999999998</v>
      </c>
    </row>
    <row r="9" spans="1:10" ht="30" customHeight="1" x14ac:dyDescent="0.25">
      <c r="A9" s="20">
        <v>7</v>
      </c>
      <c r="B9" s="5" t="s">
        <v>16</v>
      </c>
      <c r="C9" s="6">
        <v>5000</v>
      </c>
      <c r="D9" s="6">
        <v>7207.2</v>
      </c>
      <c r="E9" s="6">
        <v>0</v>
      </c>
      <c r="F9" s="6">
        <v>0</v>
      </c>
      <c r="G9" s="21">
        <f t="shared" si="1"/>
        <v>12207.2</v>
      </c>
      <c r="I9" s="10">
        <v>23207.200000000001</v>
      </c>
      <c r="J9" s="10">
        <f t="shared" si="0"/>
        <v>11000</v>
      </c>
    </row>
    <row r="10" spans="1:10" ht="30" customHeight="1" x14ac:dyDescent="0.25">
      <c r="A10" s="20">
        <v>8</v>
      </c>
      <c r="B10" s="5" t="s">
        <v>17</v>
      </c>
      <c r="C10" s="6">
        <v>133554</v>
      </c>
      <c r="D10" s="6">
        <v>357037.14</v>
      </c>
      <c r="E10" s="6">
        <f>164166.67+25776</f>
        <v>189942.67</v>
      </c>
      <c r="F10" s="6">
        <v>0</v>
      </c>
      <c r="G10" s="21">
        <f t="shared" si="1"/>
        <v>680533.81</v>
      </c>
      <c r="I10" s="10">
        <v>788909.81</v>
      </c>
      <c r="J10" s="10">
        <f t="shared" si="0"/>
        <v>108376</v>
      </c>
    </row>
    <row r="11" spans="1:10" ht="30" customHeight="1" x14ac:dyDescent="0.25">
      <c r="A11" s="20">
        <v>9</v>
      </c>
      <c r="B11" s="5" t="s">
        <v>18</v>
      </c>
      <c r="C11" s="6">
        <v>226780</v>
      </c>
      <c r="D11" s="6">
        <v>246960</v>
      </c>
      <c r="E11" s="6">
        <f>70591.67+87549</f>
        <v>158140.66999999998</v>
      </c>
      <c r="F11" s="6">
        <f>70433.19+959.11</f>
        <v>71392.3</v>
      </c>
      <c r="G11" s="21">
        <f t="shared" si="1"/>
        <v>703272.97</v>
      </c>
      <c r="I11" s="10">
        <v>714272.96</v>
      </c>
      <c r="J11" s="10">
        <f t="shared" si="0"/>
        <v>10999.989999999991</v>
      </c>
    </row>
    <row r="12" spans="1:10" ht="30" customHeight="1" x14ac:dyDescent="0.25">
      <c r="A12" s="20">
        <v>10</v>
      </c>
      <c r="B12" s="5" t="s">
        <v>19</v>
      </c>
      <c r="C12" s="6">
        <v>0</v>
      </c>
      <c r="D12" s="6">
        <v>9166.08</v>
      </c>
      <c r="E12" s="6">
        <v>8592</v>
      </c>
      <c r="F12" s="6">
        <v>0</v>
      </c>
      <c r="G12" s="21">
        <f t="shared" si="1"/>
        <v>17758.080000000002</v>
      </c>
      <c r="I12" s="10">
        <v>17758.080000000002</v>
      </c>
      <c r="J12" s="10">
        <f t="shared" si="0"/>
        <v>0</v>
      </c>
    </row>
    <row r="13" spans="1:10" ht="30" customHeight="1" x14ac:dyDescent="0.25">
      <c r="A13" s="20">
        <v>11</v>
      </c>
      <c r="B13" s="5" t="s">
        <v>20</v>
      </c>
      <c r="C13" s="6">
        <v>11224</v>
      </c>
      <c r="D13" s="6">
        <v>66233.86</v>
      </c>
      <c r="E13" s="6">
        <v>184728</v>
      </c>
      <c r="F13" s="6">
        <v>0</v>
      </c>
      <c r="G13" s="21">
        <f t="shared" si="1"/>
        <v>262185.86</v>
      </c>
      <c r="I13" s="10">
        <v>262185.86</v>
      </c>
      <c r="J13" s="10">
        <f t="shared" si="0"/>
        <v>0</v>
      </c>
    </row>
    <row r="14" spans="1:10" ht="30" customHeight="1" x14ac:dyDescent="0.25">
      <c r="A14" s="20">
        <v>12</v>
      </c>
      <c r="B14" s="5" t="s">
        <v>21</v>
      </c>
      <c r="C14" s="6">
        <v>78285</v>
      </c>
      <c r="D14" s="6">
        <v>66182.2</v>
      </c>
      <c r="E14" s="6">
        <v>132363</v>
      </c>
      <c r="F14" s="6">
        <v>0</v>
      </c>
      <c r="G14" s="21">
        <f t="shared" si="1"/>
        <v>276830.2</v>
      </c>
      <c r="I14" s="10">
        <v>276830.2</v>
      </c>
      <c r="J14" s="10">
        <f t="shared" si="0"/>
        <v>0</v>
      </c>
    </row>
    <row r="15" spans="1:10" ht="30" customHeight="1" x14ac:dyDescent="0.25">
      <c r="A15" s="20">
        <v>13</v>
      </c>
      <c r="B15" s="11" t="s">
        <v>22</v>
      </c>
      <c r="C15" s="6"/>
      <c r="D15" s="6"/>
      <c r="E15" s="6"/>
      <c r="F15" s="6"/>
      <c r="G15" s="21">
        <f t="shared" si="1"/>
        <v>0</v>
      </c>
      <c r="I15" s="10">
        <v>0</v>
      </c>
      <c r="J15" s="10">
        <f t="shared" si="0"/>
        <v>0</v>
      </c>
    </row>
    <row r="16" spans="1:10" ht="30" customHeight="1" x14ac:dyDescent="0.25">
      <c r="A16" s="20">
        <v>14</v>
      </c>
      <c r="B16" s="5" t="s">
        <v>23</v>
      </c>
      <c r="C16" s="6">
        <v>207317</v>
      </c>
      <c r="D16" s="6">
        <v>84372.36</v>
      </c>
      <c r="E16" s="6">
        <v>72392</v>
      </c>
      <c r="F16" s="6">
        <v>0</v>
      </c>
      <c r="G16" s="21">
        <f t="shared" si="1"/>
        <v>364081.36</v>
      </c>
      <c r="I16" s="10">
        <v>482457.36</v>
      </c>
      <c r="J16" s="10">
        <f t="shared" si="0"/>
        <v>118376</v>
      </c>
    </row>
    <row r="17" spans="1:10" ht="30" customHeight="1" x14ac:dyDescent="0.25">
      <c r="A17" s="20">
        <v>15</v>
      </c>
      <c r="B17" s="5" t="s">
        <v>24</v>
      </c>
      <c r="C17" s="6">
        <v>76402</v>
      </c>
      <c r="D17" s="6">
        <v>157487.67999999999</v>
      </c>
      <c r="E17" s="6">
        <v>63590</v>
      </c>
      <c r="F17" s="6">
        <v>0</v>
      </c>
      <c r="G17" s="21">
        <f t="shared" si="1"/>
        <v>297479.67999999999</v>
      </c>
      <c r="I17" s="10">
        <v>308479.68</v>
      </c>
      <c r="J17" s="10">
        <f t="shared" si="0"/>
        <v>11000</v>
      </c>
    </row>
    <row r="18" spans="1:10" ht="30" customHeight="1" x14ac:dyDescent="0.25">
      <c r="A18" s="20">
        <v>16</v>
      </c>
      <c r="B18" s="5" t="s">
        <v>25</v>
      </c>
      <c r="C18" s="6">
        <v>14247</v>
      </c>
      <c r="D18" s="6">
        <v>498949.3</v>
      </c>
      <c r="E18" s="6">
        <f>2328+22983.33+169320</f>
        <v>194631.33000000002</v>
      </c>
      <c r="F18" s="6">
        <f>35000+650</f>
        <v>35650</v>
      </c>
      <c r="G18" s="21">
        <f t="shared" si="1"/>
        <v>743477.63</v>
      </c>
      <c r="I18" s="10">
        <v>754477.63</v>
      </c>
      <c r="J18" s="10">
        <f t="shared" si="0"/>
        <v>11000</v>
      </c>
    </row>
    <row r="19" spans="1:10" ht="30" customHeight="1" x14ac:dyDescent="0.25">
      <c r="A19" s="20">
        <v>17</v>
      </c>
      <c r="B19" s="5" t="s">
        <v>26</v>
      </c>
      <c r="C19" s="6">
        <v>0</v>
      </c>
      <c r="D19" s="6">
        <v>27988.799999999999</v>
      </c>
      <c r="E19" s="6">
        <v>0</v>
      </c>
      <c r="F19" s="6">
        <v>0</v>
      </c>
      <c r="G19" s="21">
        <f t="shared" si="1"/>
        <v>27988.799999999999</v>
      </c>
      <c r="I19" s="10">
        <v>38988.800000000003</v>
      </c>
      <c r="J19" s="10">
        <f t="shared" si="0"/>
        <v>11000.000000000004</v>
      </c>
    </row>
    <row r="20" spans="1:10" ht="30" customHeight="1" x14ac:dyDescent="0.25">
      <c r="A20" s="20">
        <v>17.100000000000001</v>
      </c>
      <c r="B20" s="11" t="s">
        <v>27</v>
      </c>
      <c r="C20" s="6"/>
      <c r="D20" s="6"/>
      <c r="E20" s="6"/>
      <c r="F20" s="6"/>
      <c r="G20" s="21">
        <f t="shared" si="1"/>
        <v>0</v>
      </c>
      <c r="I20" s="10">
        <v>0</v>
      </c>
      <c r="J20" s="10">
        <f t="shared" si="0"/>
        <v>0</v>
      </c>
    </row>
    <row r="21" spans="1:10" ht="30" customHeight="1" x14ac:dyDescent="0.25">
      <c r="A21" s="20">
        <v>18</v>
      </c>
      <c r="B21" s="5" t="s">
        <v>28</v>
      </c>
      <c r="C21" s="6">
        <v>0</v>
      </c>
      <c r="D21" s="6">
        <v>0</v>
      </c>
      <c r="E21" s="6">
        <v>0</v>
      </c>
      <c r="F21" s="6">
        <v>0</v>
      </c>
      <c r="G21" s="21">
        <f t="shared" si="1"/>
        <v>0</v>
      </c>
      <c r="I21" s="10">
        <v>0</v>
      </c>
      <c r="J21" s="10">
        <f t="shared" si="0"/>
        <v>0</v>
      </c>
    </row>
    <row r="22" spans="1:10" ht="30" customHeight="1" x14ac:dyDescent="0.25">
      <c r="A22" s="20">
        <v>19</v>
      </c>
      <c r="B22" s="5" t="s">
        <v>29</v>
      </c>
      <c r="C22" s="6">
        <v>862340.85</v>
      </c>
      <c r="D22" s="6">
        <v>389475</v>
      </c>
      <c r="E22" s="6">
        <v>173130</v>
      </c>
      <c r="F22" s="6">
        <f>33600+624</f>
        <v>34224</v>
      </c>
      <c r="G22" s="21">
        <f t="shared" si="1"/>
        <v>1459169.85</v>
      </c>
      <c r="I22" s="10">
        <v>1470169.85</v>
      </c>
      <c r="J22" s="10">
        <f t="shared" si="0"/>
        <v>11000</v>
      </c>
    </row>
    <row r="23" spans="1:10" ht="30" customHeight="1" x14ac:dyDescent="0.25">
      <c r="A23" s="20">
        <v>21</v>
      </c>
      <c r="B23" s="5" t="s">
        <v>30</v>
      </c>
      <c r="C23" s="6">
        <v>0</v>
      </c>
      <c r="D23" s="6">
        <v>0</v>
      </c>
      <c r="E23" s="6">
        <v>34585.5</v>
      </c>
      <c r="F23" s="6">
        <v>0</v>
      </c>
      <c r="G23" s="21">
        <f t="shared" si="1"/>
        <v>34585.5</v>
      </c>
      <c r="I23" s="10">
        <v>45585.5</v>
      </c>
      <c r="J23" s="10">
        <f t="shared" si="0"/>
        <v>11000</v>
      </c>
    </row>
    <row r="24" spans="1:10" ht="30" customHeight="1" x14ac:dyDescent="0.25">
      <c r="A24" s="20">
        <v>22</v>
      </c>
      <c r="B24" s="5" t="s">
        <v>31</v>
      </c>
      <c r="C24" s="6">
        <v>164766</v>
      </c>
      <c r="D24" s="6">
        <v>0</v>
      </c>
      <c r="E24" s="6">
        <v>168407.5</v>
      </c>
      <c r="F24" s="6">
        <f>12198.52+166.11</f>
        <v>12364.630000000001</v>
      </c>
      <c r="G24" s="21">
        <f t="shared" si="1"/>
        <v>345538.13</v>
      </c>
      <c r="I24" s="10">
        <v>453914.13</v>
      </c>
      <c r="J24" s="10">
        <f t="shared" si="0"/>
        <v>108376</v>
      </c>
    </row>
    <row r="25" spans="1:10" ht="30" customHeight="1" x14ac:dyDescent="0.25">
      <c r="A25" s="20">
        <v>23</v>
      </c>
      <c r="B25" s="5" t="s">
        <v>32</v>
      </c>
      <c r="C25" s="6">
        <v>76144</v>
      </c>
      <c r="D25" s="6">
        <v>354159.78</v>
      </c>
      <c r="E25" s="6">
        <f>970+238804.5</f>
        <v>239774.5</v>
      </c>
      <c r="F25" s="6">
        <v>0</v>
      </c>
      <c r="G25" s="21">
        <f t="shared" si="1"/>
        <v>670078.28</v>
      </c>
      <c r="I25" s="10">
        <v>681078.28</v>
      </c>
      <c r="J25" s="10">
        <f t="shared" si="0"/>
        <v>11000</v>
      </c>
    </row>
    <row r="26" spans="1:10" ht="30" customHeight="1" x14ac:dyDescent="0.25">
      <c r="A26" s="20">
        <v>24</v>
      </c>
      <c r="B26" s="5" t="s">
        <v>33</v>
      </c>
      <c r="C26" s="6">
        <v>223</v>
      </c>
      <c r="D26" s="6">
        <v>80803.7</v>
      </c>
      <c r="E26" s="6">
        <f>3104+75180</f>
        <v>78284</v>
      </c>
      <c r="F26" s="6">
        <f>89738.67+1222</f>
        <v>90960.67</v>
      </c>
      <c r="G26" s="21">
        <f t="shared" si="1"/>
        <v>250271.37</v>
      </c>
      <c r="I26" s="10">
        <v>261271.37</v>
      </c>
      <c r="J26" s="10">
        <f t="shared" si="0"/>
        <v>11000</v>
      </c>
    </row>
    <row r="27" spans="1:10" ht="30" customHeight="1" x14ac:dyDescent="0.25">
      <c r="A27" s="20">
        <v>25</v>
      </c>
      <c r="B27" s="5" t="s">
        <v>34</v>
      </c>
      <c r="C27" s="6">
        <v>147659</v>
      </c>
      <c r="D27" s="6">
        <v>358725</v>
      </c>
      <c r="E27" s="6">
        <f>9029.17+160742</f>
        <v>169771.17</v>
      </c>
      <c r="F27" s="6">
        <v>0</v>
      </c>
      <c r="G27" s="21">
        <f t="shared" si="1"/>
        <v>676155.17</v>
      </c>
      <c r="I27" s="10">
        <v>676155.17</v>
      </c>
      <c r="J27" s="10">
        <f t="shared" si="0"/>
        <v>0</v>
      </c>
    </row>
    <row r="28" spans="1:10" ht="30" customHeight="1" x14ac:dyDescent="0.25">
      <c r="A28" s="20">
        <v>27</v>
      </c>
      <c r="B28" s="5" t="s">
        <v>35</v>
      </c>
      <c r="C28" s="6">
        <v>192709</v>
      </c>
      <c r="D28" s="6">
        <v>2129264.2799999998</v>
      </c>
      <c r="E28" s="6">
        <v>263488</v>
      </c>
      <c r="F28" s="6">
        <f>289333.33+5373.33</f>
        <v>294706.66000000003</v>
      </c>
      <c r="G28" s="21">
        <f t="shared" si="1"/>
        <v>2880167.94</v>
      </c>
      <c r="I28" s="10">
        <v>2999543.95</v>
      </c>
      <c r="J28" s="10">
        <f t="shared" si="0"/>
        <v>119376.01000000024</v>
      </c>
    </row>
    <row r="29" spans="1:10" ht="30" customHeight="1" x14ac:dyDescent="0.25">
      <c r="A29" s="20">
        <v>28</v>
      </c>
      <c r="B29" s="5" t="s">
        <v>36</v>
      </c>
      <c r="C29" s="6">
        <v>135464</v>
      </c>
      <c r="D29" s="6">
        <v>85920</v>
      </c>
      <c r="E29" s="6">
        <v>89546</v>
      </c>
      <c r="F29" s="6">
        <f>98000+1820</f>
        <v>99820</v>
      </c>
      <c r="G29" s="21">
        <f t="shared" si="1"/>
        <v>410750</v>
      </c>
      <c r="I29" s="10">
        <v>540126</v>
      </c>
      <c r="J29" s="10">
        <f t="shared" si="0"/>
        <v>129376</v>
      </c>
    </row>
    <row r="30" spans="1:10" ht="30" customHeight="1" x14ac:dyDescent="0.25">
      <c r="A30" s="20">
        <v>29</v>
      </c>
      <c r="B30" s="5" t="s">
        <v>37</v>
      </c>
      <c r="C30" s="6">
        <v>20000</v>
      </c>
      <c r="D30" s="6">
        <v>2355.36</v>
      </c>
      <c r="E30" s="6">
        <v>0</v>
      </c>
      <c r="F30" s="6">
        <v>0</v>
      </c>
      <c r="G30" s="21">
        <f t="shared" si="1"/>
        <v>22355.360000000001</v>
      </c>
      <c r="I30" s="10">
        <v>22355.360000000001</v>
      </c>
      <c r="J30" s="10">
        <f t="shared" si="0"/>
        <v>0</v>
      </c>
    </row>
    <row r="31" spans="1:10" ht="30" customHeight="1" x14ac:dyDescent="0.25">
      <c r="A31" s="20">
        <v>30</v>
      </c>
      <c r="B31" s="5" t="s">
        <v>38</v>
      </c>
      <c r="C31" s="6">
        <v>1600</v>
      </c>
      <c r="D31" s="6">
        <v>18745.439999999999</v>
      </c>
      <c r="E31" s="6">
        <v>5156</v>
      </c>
      <c r="F31" s="6">
        <f>25277.78+469.44</f>
        <v>25747.219999999998</v>
      </c>
      <c r="G31" s="21">
        <f t="shared" si="1"/>
        <v>51248.659999999996</v>
      </c>
      <c r="I31" s="10">
        <v>51248.66</v>
      </c>
      <c r="J31" s="10">
        <f t="shared" si="0"/>
        <v>0</v>
      </c>
    </row>
    <row r="32" spans="1:10" ht="30" customHeight="1" x14ac:dyDescent="0.25">
      <c r="A32" s="20">
        <v>31</v>
      </c>
      <c r="B32" s="5" t="s">
        <v>39</v>
      </c>
      <c r="C32" s="6">
        <v>16394</v>
      </c>
      <c r="D32" s="6">
        <f>55288.8+55288.8+130099.2+55288.8+55288.8+55288.8</f>
        <v>406543.19999999995</v>
      </c>
      <c r="E32" s="6">
        <f>(9312+9312+9312+9312+9312+9312)+(131895+209654+241953.5+227776.5+172140+131895)</f>
        <v>1171186</v>
      </c>
      <c r="F32" s="6">
        <f>(72333.33+30333.33+63700+35933.33)+(1343.33+563.33+1183+667.33)</f>
        <v>206056.97999999998</v>
      </c>
      <c r="G32" s="21">
        <f t="shared" si="1"/>
        <v>1800180.18</v>
      </c>
      <c r="I32" s="10">
        <f>281172.47+285254.8+439655.37+368260.3+254740.8+244096.47</f>
        <v>1873180.21</v>
      </c>
      <c r="J32" s="10">
        <f t="shared" si="0"/>
        <v>73000.030000000028</v>
      </c>
    </row>
    <row r="33" spans="1:10" ht="30" customHeight="1" x14ac:dyDescent="0.25">
      <c r="A33" s="20">
        <v>32</v>
      </c>
      <c r="B33" s="5" t="s">
        <v>40</v>
      </c>
      <c r="C33" s="6">
        <v>316056</v>
      </c>
      <c r="D33" s="6">
        <v>270870</v>
      </c>
      <c r="E33" s="6">
        <v>69810</v>
      </c>
      <c r="F33" s="6">
        <f>14661.11+272.28</f>
        <v>14933.390000000001</v>
      </c>
      <c r="G33" s="21">
        <f t="shared" si="1"/>
        <v>671669.39</v>
      </c>
      <c r="I33" s="10">
        <v>671669.39</v>
      </c>
      <c r="J33" s="10">
        <f t="shared" si="0"/>
        <v>0</v>
      </c>
    </row>
    <row r="34" spans="1:10" ht="30" customHeight="1" x14ac:dyDescent="0.25">
      <c r="A34" s="20">
        <v>32.1</v>
      </c>
      <c r="B34" s="5" t="s">
        <v>41</v>
      </c>
      <c r="C34" s="6">
        <v>0</v>
      </c>
      <c r="D34" s="6">
        <v>0</v>
      </c>
      <c r="E34" s="6">
        <v>0</v>
      </c>
      <c r="F34" s="6">
        <v>0</v>
      </c>
      <c r="G34" s="21">
        <f t="shared" si="1"/>
        <v>0</v>
      </c>
      <c r="I34" s="10">
        <v>0</v>
      </c>
      <c r="J34" s="10">
        <f t="shared" si="0"/>
        <v>0</v>
      </c>
    </row>
    <row r="35" spans="1:10" ht="30" customHeight="1" x14ac:dyDescent="0.25">
      <c r="A35" s="20">
        <v>34</v>
      </c>
      <c r="B35" s="5" t="s">
        <v>42</v>
      </c>
      <c r="C35" s="6">
        <v>0</v>
      </c>
      <c r="D35" s="6">
        <v>16867.5</v>
      </c>
      <c r="E35" s="6">
        <v>4296</v>
      </c>
      <c r="F35" s="6">
        <v>0</v>
      </c>
      <c r="G35" s="21">
        <f t="shared" si="1"/>
        <v>21163.5</v>
      </c>
      <c r="I35" s="10">
        <v>21163.5</v>
      </c>
      <c r="J35" s="10">
        <f t="shared" si="0"/>
        <v>0</v>
      </c>
    </row>
    <row r="36" spans="1:10" ht="30" customHeight="1" x14ac:dyDescent="0.25">
      <c r="A36" s="20">
        <v>35</v>
      </c>
      <c r="B36" s="11" t="s">
        <v>43</v>
      </c>
      <c r="C36" s="6"/>
      <c r="D36" s="6"/>
      <c r="E36" s="6"/>
      <c r="F36" s="6"/>
      <c r="G36" s="21">
        <f>SUM(C36:F36)</f>
        <v>0</v>
      </c>
      <c r="I36" s="10">
        <v>0</v>
      </c>
      <c r="J36" s="10">
        <f t="shared" si="0"/>
        <v>0</v>
      </c>
    </row>
    <row r="37" spans="1:10" ht="30" customHeight="1" x14ac:dyDescent="0.25">
      <c r="A37" s="20">
        <v>36</v>
      </c>
      <c r="B37" s="11" t="s">
        <v>44</v>
      </c>
      <c r="C37" s="6"/>
      <c r="D37" s="6"/>
      <c r="E37" s="6"/>
      <c r="F37" s="6"/>
      <c r="G37" s="21">
        <f t="shared" si="1"/>
        <v>0</v>
      </c>
      <c r="I37" s="10">
        <v>0</v>
      </c>
      <c r="J37" s="10">
        <f t="shared" si="0"/>
        <v>0</v>
      </c>
    </row>
    <row r="38" spans="1:10" ht="30" customHeight="1" x14ac:dyDescent="0.25">
      <c r="A38" s="20">
        <v>37</v>
      </c>
      <c r="B38" s="11" t="s">
        <v>45</v>
      </c>
      <c r="C38" s="6"/>
      <c r="D38" s="6"/>
      <c r="E38" s="6"/>
      <c r="F38" s="6"/>
      <c r="G38" s="21">
        <f t="shared" si="1"/>
        <v>0</v>
      </c>
      <c r="I38" s="10">
        <v>0</v>
      </c>
      <c r="J38" s="10">
        <f t="shared" si="0"/>
        <v>0</v>
      </c>
    </row>
    <row r="39" spans="1:10" ht="30" customHeight="1" x14ac:dyDescent="0.25">
      <c r="A39" s="20">
        <v>38</v>
      </c>
      <c r="B39" s="5" t="s">
        <v>46</v>
      </c>
      <c r="C39" s="6">
        <v>0</v>
      </c>
      <c r="D39" s="6">
        <v>0</v>
      </c>
      <c r="E39" s="6">
        <v>0</v>
      </c>
      <c r="F39" s="6">
        <v>0</v>
      </c>
      <c r="G39" s="21">
        <f t="shared" si="1"/>
        <v>0</v>
      </c>
      <c r="I39" s="10">
        <v>0</v>
      </c>
      <c r="J39" s="10">
        <f t="shared" si="0"/>
        <v>0</v>
      </c>
    </row>
    <row r="40" spans="1:10" ht="30" customHeight="1" x14ac:dyDescent="0.25">
      <c r="A40" s="20">
        <v>39</v>
      </c>
      <c r="B40" s="5" t="s">
        <v>47</v>
      </c>
      <c r="C40" s="6">
        <v>0</v>
      </c>
      <c r="D40" s="6">
        <v>0</v>
      </c>
      <c r="E40" s="6">
        <v>0</v>
      </c>
      <c r="F40" s="6">
        <v>0</v>
      </c>
      <c r="G40" s="21">
        <f t="shared" si="1"/>
        <v>0</v>
      </c>
      <c r="I40" s="10">
        <v>0</v>
      </c>
      <c r="J40" s="10">
        <f t="shared" si="0"/>
        <v>0</v>
      </c>
    </row>
    <row r="41" spans="1:10" ht="30" customHeight="1" thickBot="1" x14ac:dyDescent="0.3">
      <c r="A41" s="22">
        <v>40</v>
      </c>
      <c r="B41" s="23" t="s">
        <v>48</v>
      </c>
      <c r="C41" s="24">
        <v>5000</v>
      </c>
      <c r="D41" s="24">
        <v>0</v>
      </c>
      <c r="E41" s="24">
        <v>0</v>
      </c>
      <c r="F41" s="24">
        <v>0</v>
      </c>
      <c r="G41" s="25">
        <f t="shared" si="1"/>
        <v>5000</v>
      </c>
      <c r="I41" s="10">
        <v>5000</v>
      </c>
      <c r="J41" s="10">
        <f t="shared" si="0"/>
        <v>0</v>
      </c>
    </row>
    <row r="42" spans="1:10" ht="9.9499999999999993" customHeight="1" thickTop="1" x14ac:dyDescent="0.25">
      <c r="C42" s="1"/>
      <c r="D42" s="1"/>
      <c r="E42" s="1"/>
      <c r="F42" s="1"/>
      <c r="G42" s="1"/>
    </row>
    <row r="43" spans="1:10" ht="30" customHeight="1" x14ac:dyDescent="0.25">
      <c r="C43" s="1">
        <f>SUM(C3:C41)</f>
        <v>3779394.95</v>
      </c>
      <c r="D43" s="1">
        <f>SUM(D3:D41)</f>
        <v>9041876.0199999996</v>
      </c>
      <c r="E43" s="1">
        <f>SUM(E3:E41)</f>
        <v>3954884</v>
      </c>
      <c r="F43" s="1">
        <f>SUM(F3:F41)</f>
        <v>939093.19000000006</v>
      </c>
      <c r="G43" s="15">
        <f>SUM(G3:G41)</f>
        <v>17715248.16</v>
      </c>
      <c r="I43" s="12">
        <f>SUM(I3:I42)</f>
        <v>18803256.180000003</v>
      </c>
      <c r="J43" s="10">
        <f>I43-G43</f>
        <v>1088008.0200000033</v>
      </c>
    </row>
    <row r="44" spans="1:10" ht="30" customHeight="1" x14ac:dyDescent="0.25">
      <c r="C44" s="12"/>
      <c r="D44" s="12"/>
      <c r="E44" s="12"/>
      <c r="F44" s="12"/>
      <c r="G44" s="12"/>
    </row>
    <row r="45" spans="1:10" ht="30" customHeight="1" x14ac:dyDescent="0.25">
      <c r="B45" s="13"/>
      <c r="C45" s="12"/>
      <c r="D45" s="14"/>
      <c r="E45" s="14"/>
      <c r="F45" s="12"/>
      <c r="G45" s="12"/>
    </row>
    <row r="46" spans="1:10" ht="30" customHeight="1" x14ac:dyDescent="0.25">
      <c r="C46" s="1"/>
      <c r="D46" s="1"/>
      <c r="E46" s="1"/>
      <c r="F46" s="1"/>
      <c r="G46" s="1"/>
    </row>
    <row r="47" spans="1:10" ht="30" customHeight="1" x14ac:dyDescent="0.25">
      <c r="C47" s="1"/>
      <c r="D47" s="1"/>
      <c r="E47" s="1"/>
      <c r="F47" s="1"/>
      <c r="G47" s="1"/>
    </row>
    <row r="48" spans="1:10" ht="30" customHeight="1" x14ac:dyDescent="0.25">
      <c r="C48" s="1"/>
      <c r="D48" s="1"/>
      <c r="E48" s="1"/>
      <c r="F48" s="1"/>
      <c r="G48" s="1"/>
    </row>
    <row r="49" spans="3:7" ht="30" customHeight="1" x14ac:dyDescent="0.25">
      <c r="C49" s="1"/>
      <c r="D49" s="1"/>
      <c r="E49" s="1"/>
      <c r="F49" s="1"/>
      <c r="G49" s="1"/>
    </row>
    <row r="50" spans="3:7" ht="30" customHeight="1" x14ac:dyDescent="0.25">
      <c r="C50" s="1"/>
      <c r="D50" s="1"/>
      <c r="E50" s="1"/>
      <c r="F50" s="1"/>
      <c r="G50" s="1"/>
    </row>
    <row r="51" spans="3:7" ht="30" customHeight="1" x14ac:dyDescent="0.25">
      <c r="C51" s="1"/>
      <c r="D51" s="1"/>
      <c r="E51" s="1"/>
      <c r="F51" s="1"/>
      <c r="G51" s="1"/>
    </row>
    <row r="52" spans="3:7" ht="30" customHeight="1" x14ac:dyDescent="0.25">
      <c r="C52" s="1"/>
      <c r="D52" s="1"/>
      <c r="E52" s="1"/>
      <c r="F52" s="1"/>
      <c r="G52" s="1"/>
    </row>
    <row r="53" spans="3:7" ht="30" customHeight="1" x14ac:dyDescent="0.25">
      <c r="C53" s="1"/>
      <c r="D53" s="1"/>
      <c r="E53" s="1"/>
      <c r="F53" s="1"/>
      <c r="G53" s="1"/>
    </row>
    <row r="54" spans="3:7" ht="30" customHeight="1" x14ac:dyDescent="0.25">
      <c r="C54" s="1"/>
      <c r="D54" s="1"/>
      <c r="E54" s="1"/>
      <c r="F54" s="1"/>
      <c r="G54" s="1"/>
    </row>
    <row r="55" spans="3:7" ht="30" customHeight="1" x14ac:dyDescent="0.25">
      <c r="C55" s="1"/>
      <c r="D55" s="1"/>
      <c r="E55" s="1"/>
      <c r="F55" s="1"/>
      <c r="G55" s="1"/>
    </row>
    <row r="56" spans="3:7" ht="30" customHeight="1" x14ac:dyDescent="0.25">
      <c r="C56" s="1"/>
      <c r="D56" s="1"/>
      <c r="E56" s="1"/>
      <c r="F56" s="1"/>
      <c r="G56" s="1"/>
    </row>
    <row r="57" spans="3:7" ht="30" customHeight="1" x14ac:dyDescent="0.25">
      <c r="C57" s="1"/>
      <c r="D57" s="1"/>
      <c r="E57" s="1"/>
      <c r="F57" s="1"/>
      <c r="G57" s="1"/>
    </row>
    <row r="58" spans="3:7" ht="30" customHeight="1" x14ac:dyDescent="0.25">
      <c r="C58" s="1"/>
      <c r="D58" s="1"/>
      <c r="E58" s="1"/>
      <c r="F58" s="1"/>
      <c r="G58" s="1"/>
    </row>
    <row r="59" spans="3:7" ht="30" customHeight="1" x14ac:dyDescent="0.25">
      <c r="C59" s="1"/>
      <c r="D59" s="1"/>
      <c r="E59" s="1"/>
      <c r="F59" s="1"/>
      <c r="G59" s="1"/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29d399-a8c0-4a97-bde9-635da9da8c70" xsi:nil="true"/>
    <lcf76f155ced4ddcb4097134ff3c332f xmlns="2663fc1d-4df7-44c0-9781-6a2ebaf3546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09C20E6FEA1149818259A3B0B0DB8C" ma:contentTypeVersion="11" ma:contentTypeDescription="Create a new document." ma:contentTypeScope="" ma:versionID="6336471ebebb0015805814766e0645df">
  <xsd:schema xmlns:xsd="http://www.w3.org/2001/XMLSchema" xmlns:xs="http://www.w3.org/2001/XMLSchema" xmlns:p="http://schemas.microsoft.com/office/2006/metadata/properties" xmlns:ns2="2663fc1d-4df7-44c0-9781-6a2ebaf3546e" xmlns:ns3="7c29d399-a8c0-4a97-bde9-635da9da8c70" targetNamespace="http://schemas.microsoft.com/office/2006/metadata/properties" ma:root="true" ma:fieldsID="de2ab318cf60a47d2bb922d8c42f4a14" ns2:_="" ns3:_="">
    <xsd:import namespace="2663fc1d-4df7-44c0-9781-6a2ebaf3546e"/>
    <xsd:import namespace="7c29d399-a8c0-4a97-bde9-635da9da8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63fc1d-4df7-44c0-9781-6a2ebaf354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c23ef1-821b-4a29-ab1a-913ceff380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9d399-a8c0-4a97-bde9-635da9da8c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a2e0f5-ad93-4fa4-a031-796bdc9d5e69}" ma:internalName="TaxCatchAll" ma:showField="CatchAllData" ma:web="7c29d399-a8c0-4a97-bde9-635da9da8c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8C5535-66A7-4AFC-BD5C-ECD06E69779D}">
  <ds:schemaRefs>
    <ds:schemaRef ds:uri="2663fc1d-4df7-44c0-9781-6a2ebaf3546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7c29d399-a8c0-4a97-bde9-635da9da8c70"/>
    <ds:schemaRef ds:uri="http://purl.org/dc/elements/1.1/"/>
    <ds:schemaRef ds:uri="http://www.w3.org/XML/1998/namespac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4A203F6-87AF-468A-8D70-BF5B913002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25874D-1A34-4469-A195-39126E6750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63fc1d-4df7-44c0-9781-6a2ebaf3546e"/>
    <ds:schemaRef ds:uri="7c29d399-a8c0-4a97-bde9-635da9da8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Todd Eppenbach</dc:creator>
  <cp:keywords/>
  <dc:description/>
  <cp:lastModifiedBy>Jack Dohrman</cp:lastModifiedBy>
  <cp:revision/>
  <dcterms:created xsi:type="dcterms:W3CDTF">2025-09-08T13:09:58Z</dcterms:created>
  <dcterms:modified xsi:type="dcterms:W3CDTF">2026-04-01T20:24:27Z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0x0101004E09C20E6FEA1149818259A3B0B0DB8C</vt:lpwstr>
  </property>
  <property fmtid="{D5CDD505-2E9C-101B-9397-08002B2CF9AE}" pid="3" name="MediaServiceImageTags">
    <vt:lpwstr/>
  </property>
</Properties>
</file>