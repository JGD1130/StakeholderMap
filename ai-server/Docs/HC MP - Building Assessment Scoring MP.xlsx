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668FF43-25A3-43DA-88EB-16050AD69FF4}" xr6:coauthVersionLast="47" xr6:coauthVersionMax="47" xr10:uidLastSave="{00000000-0000-0000-0000-000000000000}"/>
  <bookViews>
    <workbookView xWindow="4455" yWindow="0" windowWidth="21600" windowHeight="15585" xr2:uid="{A69D8A49-ED32-4F87-855E-E8278F1A3E4D}"/>
  </bookViews>
  <sheets>
    <sheet name="Sheet1" sheetId="1" r:id="rId1"/>
  </sheets>
  <definedNames>
    <definedName name="_xlnm._FilterDatabase" localSheetId="0" hidden="1">Sheet1!$B$6:$W$6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24" i="1"/>
  <c r="C49" i="1"/>
  <c r="C7" i="1"/>
  <c r="C50" i="1"/>
  <c r="C48" i="1"/>
  <c r="C47" i="1"/>
  <c r="C46" i="1"/>
  <c r="C45" i="1"/>
  <c r="C44" i="1"/>
  <c r="C43" i="1"/>
  <c r="C42" i="1"/>
  <c r="C41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</calcChain>
</file>

<file path=xl/sharedStrings.xml><?xml version="1.0" encoding="utf-8"?>
<sst xmlns="http://schemas.openxmlformats.org/spreadsheetml/2006/main" count="117" uniqueCount="104">
  <si>
    <t>Hastings College - Master Facilities Plan</t>
  </si>
  <si>
    <t>Building Assessments</t>
  </si>
  <si>
    <t>Architecture</t>
  </si>
  <si>
    <t>Engineering</t>
  </si>
  <si>
    <t>Functionality</t>
  </si>
  <si>
    <t>Building</t>
  </si>
  <si>
    <t>Average Score</t>
  </si>
  <si>
    <t>Exterior</t>
  </si>
  <si>
    <t>Entrances</t>
  </si>
  <si>
    <t>Interior Finishes</t>
  </si>
  <si>
    <t>Life Safety</t>
  </si>
  <si>
    <t xml:space="preserve">   Codes/Accessibility</t>
  </si>
  <si>
    <t>Superstructure</t>
  </si>
  <si>
    <t xml:space="preserve">   Conveying Systems</t>
  </si>
  <si>
    <t>Fire Protection</t>
  </si>
  <si>
    <t>Plumbing</t>
  </si>
  <si>
    <t>Mechanical</t>
  </si>
  <si>
    <t>Power</t>
  </si>
  <si>
    <t>Lighting</t>
  </si>
  <si>
    <t>Telecomm</t>
  </si>
  <si>
    <t>Fire Alarm</t>
  </si>
  <si>
    <t>Space Size</t>
  </si>
  <si>
    <t>Technology</t>
  </si>
  <si>
    <t>Notes</t>
  </si>
  <si>
    <t>01) Admissions / Daugherty Student Engagement Center</t>
  </si>
  <si>
    <t>Not Sprinkled</t>
  </si>
  <si>
    <t>02) Hurley-McDonald Hall</t>
  </si>
  <si>
    <t>03) Perkins Library</t>
  </si>
  <si>
    <t>Not Sprinkled, Unisex restrooms getting updated</t>
  </si>
  <si>
    <t>04) Kiewit Building</t>
  </si>
  <si>
    <t>Sprinkled, Had a leak in ceiling around sprinkler head.</t>
  </si>
  <si>
    <t>05) 706 E. 7th St. Residence</t>
  </si>
  <si>
    <t>No Fire Protection, Water Heater 2009</t>
  </si>
  <si>
    <t>06) 710 E. 7th St. Residence</t>
  </si>
  <si>
    <t>Not Sprinkled, 1 WH 2012; 2 WH 2020</t>
  </si>
  <si>
    <t>07) 714 E. 7th St. Residence</t>
  </si>
  <si>
    <t>WH 2012; Furnace 2018</t>
  </si>
  <si>
    <t xml:space="preserve">08) Morrison-Reeves Science Center </t>
  </si>
  <si>
    <t>Pressure Issues, nearing life expectancy on systems, need DHW circ pump</t>
  </si>
  <si>
    <t xml:space="preserve">09) Calvin H. French Memorial Chapel </t>
  </si>
  <si>
    <t>New lighting &amp; rigging scheduled, Not Sprinkled, Fire hose, front stage</t>
  </si>
  <si>
    <t>10) The Stone Health Center</t>
  </si>
  <si>
    <t>Not Sprinkled, HVAC R22 Units</t>
  </si>
  <si>
    <t>11) Babcock Hall Co-ed Residence</t>
  </si>
  <si>
    <t>Some compressor issues, older HW heater</t>
  </si>
  <si>
    <t>12) Taylor Hall Women’s Residence</t>
  </si>
  <si>
    <t>13) Wilson Center</t>
  </si>
  <si>
    <t>Water issues around perimeter</t>
  </si>
  <si>
    <t>14) McCormick Hall</t>
  </si>
  <si>
    <t>15) Scott Studio Theatre</t>
  </si>
  <si>
    <t>Not Sprinkled, improper slope in waste pipe</t>
  </si>
  <si>
    <t>16) Altman Hall Co-ed First-Year Residence</t>
  </si>
  <si>
    <t>Old Boiler, Fan Coils and AHU</t>
  </si>
  <si>
    <t>17) Batchelder General Services</t>
  </si>
  <si>
    <t>17.1) Batchelder Garage</t>
  </si>
  <si>
    <t>18) Campus Safety – 846 N. Ash Ave.</t>
  </si>
  <si>
    <t>No Fire Alarm</t>
  </si>
  <si>
    <t>19) Bronc Hall Men’s Residence</t>
  </si>
  <si>
    <t>Need mixing valve on tank</t>
  </si>
  <si>
    <t>20) Steinhart Plaza</t>
  </si>
  <si>
    <t>Not Reviewed</t>
  </si>
  <si>
    <t>21) MacKay House (603 E 9th)</t>
  </si>
  <si>
    <t>Not Sprinkled, R22, WH 2014</t>
  </si>
  <si>
    <t>22) Hazelrigg Student Union / Studio 200</t>
  </si>
  <si>
    <t>Under Renovation, Not enough strobes, kitchen is new including HVAC</t>
  </si>
  <si>
    <t>23) Gray Center</t>
  </si>
  <si>
    <t>Not Sprinkled, WH 2022</t>
  </si>
  <si>
    <t>24) Jackson Dinsdale Art Center</t>
  </si>
  <si>
    <t>HVAC has control issues</t>
  </si>
  <si>
    <t>25) Hayes M. Fuhr Hall of Music</t>
  </si>
  <si>
    <t>Flood Damage</t>
  </si>
  <si>
    <t>26) The 1882 (new residence hall opening 2026)</t>
  </si>
  <si>
    <t>Under Construction</t>
  </si>
  <si>
    <t>27) Lynn Farrell Arena/Fleharty Educational Center</t>
  </si>
  <si>
    <t>In process of updating units, ERUs need updated</t>
  </si>
  <si>
    <t>28) Lloyd Wilson Field/Stadium</t>
  </si>
  <si>
    <t>Water problems, Locker Rooms not sprinkled, No HVAC on 3rd</t>
  </si>
  <si>
    <t>29) Jack Osborne Track Complex/Garage</t>
  </si>
  <si>
    <t>Garage and Crows Nest</t>
  </si>
  <si>
    <t>30) Barrett Alumni Center</t>
  </si>
  <si>
    <t>No Fire Alarm, Not Sprinkled</t>
  </si>
  <si>
    <t>31) Bronco Village Apartments</t>
  </si>
  <si>
    <t>Building 917 &amp; 923 not remodeled</t>
  </si>
  <si>
    <t>32) Physical Fitness Facility</t>
  </si>
  <si>
    <t>Not Sprinkled, Unit Heaters Damaged, WH 2014</t>
  </si>
  <si>
    <t>32.1) Physical Fitness Facility Garage</t>
  </si>
  <si>
    <t>33) Doris Becker Tennis Facility</t>
  </si>
  <si>
    <t>34) Sachtleben Observatory</t>
  </si>
  <si>
    <t>35) Bronco Bikes</t>
  </si>
  <si>
    <t>Bike Repair Shop, Not Sprinkled, Unit Heaters, Compressed Air</t>
  </si>
  <si>
    <t>36) 607 E 9th St Residence</t>
  </si>
  <si>
    <t>Rental House</t>
  </si>
  <si>
    <t>37) 611 E 9th St Residence</t>
  </si>
  <si>
    <t>38) 905 N Elm Ave Residence</t>
  </si>
  <si>
    <t>39) 812 N Ash Ave Residence</t>
  </si>
  <si>
    <t>40) 906 E 9th St Residence</t>
  </si>
  <si>
    <t>40.1) 906 E 9th St Welding Shop</t>
  </si>
  <si>
    <t>41) 919 E 9th St Residence</t>
  </si>
  <si>
    <t>Scoring Criteria</t>
  </si>
  <si>
    <t>1 = Very poor condition:  in need of replacement</t>
  </si>
  <si>
    <t>2 = Poor condition:  nearing end of useful life</t>
  </si>
  <si>
    <t>3 = Adequate condition:  consider long-range upgrades</t>
  </si>
  <si>
    <t>4 = Good condition:  at or near contemporary standards</t>
  </si>
  <si>
    <t>5 = Excellent condition:  recently installed or 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</si>
</sst>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2"/>
      <color theme="1"/>
      <name val="Segoe UI"/>
      <family val="2"/>
    </font>
    <font>
      <sz val="10"/>
      <color rgb="FFC00000"/>
      <name val="Segoe UI"/>
      <family val="2"/>
    </font>
    <font>
      <sz val="10"/>
      <color rgb="FF000000"/>
      <name val="Segoe UI"/>
      <family val="2"/>
    </font>
    <font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EE386"/>
        <bgColor indexed="64"/>
      </patternFill>
    </fill>
    <fill>
      <patternFill patternType="solid">
        <fgColor rgb="FFF6C17E"/>
        <bgColor indexed="64"/>
      </patternFill>
    </fill>
    <fill>
      <patternFill patternType="solid">
        <fgColor rgb="FFEF6E6D"/>
        <bgColor indexed="64"/>
      </patternFill>
    </fill>
    <fill>
      <patternFill patternType="solid">
        <fgColor rgb="FF6CBD7C"/>
        <bgColor indexed="64"/>
      </patternFill>
    </fill>
    <fill>
      <patternFill patternType="solid">
        <fgColor rgb="FFA4D08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2" borderId="18" xfId="0" applyFont="1" applyFill="1" applyBorder="1"/>
    <xf numFmtId="0" fontId="1" fillId="2" borderId="13" xfId="0" applyFont="1" applyFill="1" applyBorder="1"/>
    <xf numFmtId="0" fontId="1" fillId="2" borderId="19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center"/>
    </xf>
    <xf numFmtId="0" fontId="0" fillId="0" borderId="20" xfId="0" applyBorder="1" applyAlignment="1">
      <alignment horizontal="left" vertical="center"/>
    </xf>
    <xf numFmtId="0" fontId="0" fillId="0" borderId="21" xfId="0" applyBorder="1"/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/>
    <xf numFmtId="0" fontId="1" fillId="2" borderId="24" xfId="0" applyFont="1" applyFill="1" applyBorder="1" applyAlignment="1">
      <alignment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/>
    <xf numFmtId="0" fontId="0" fillId="0" borderId="27" xfId="0" applyBorder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6" xfId="0" applyFont="1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25" xfId="0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0" borderId="17" xfId="0" applyFont="1" applyBorder="1" applyAlignment="1">
      <alignment horizontal="left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" fillId="2" borderId="22" xfId="0" applyFont="1" applyFill="1" applyBorder="1" applyAlignment="1">
      <alignment horizontal="center" vertical="center" textRotation="90"/>
    </xf>
    <xf numFmtId="0" fontId="1" fillId="2" borderId="7" xfId="0" applyFont="1" applyFill="1" applyBorder="1" applyAlignment="1">
      <alignment horizontal="center" vertical="center" textRotation="90"/>
    </xf>
    <xf numFmtId="0" fontId="1" fillId="2" borderId="8" xfId="0" applyFont="1" applyFill="1" applyBorder="1" applyAlignment="1">
      <alignment horizontal="center" vertical="center" textRotation="90"/>
    </xf>
    <xf numFmtId="0" fontId="1" fillId="2" borderId="9" xfId="0" applyFont="1" applyFill="1" applyBorder="1" applyAlignment="1">
      <alignment horizontal="center" vertical="center" textRotation="90"/>
    </xf>
    <xf numFmtId="0" fontId="0" fillId="2" borderId="26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FD3EEF-C0C8-4751-B60A-51929017B6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C7A4-898A-40F2-8C26-E2B4EBECD368}">
  <sheetPr>
    <pageSetUpPr fitToPage="1"/>
  </sheetPr>
  <dimension ref="B2:W58"/>
  <sheetViews>
    <sheetView tabSelected="1" topLeftCell="A5" zoomScaleNormal="100" workbookViewId="0">
      <pane ySplit="2" topLeftCell="A7" activePane="bottomLeft" state="frozen"/>
      <selection activeCell="A5" sqref="A5"/>
      <selection pane="bottomLeft" activeCell="G64" sqref="G64"/>
    </sheetView>
  </sheetViews>
  <sheetFormatPr defaultRowHeight="14.25" customHeight="1" x14ac:dyDescent="0.25"/>
  <cols>
    <col min="1" max="1" width="3.42578125" customWidth="1"/>
    <col min="2" max="2" width="49.28515625" customWidth="1"/>
    <col min="3" max="22" width="4.28515625" style="1" customWidth="1"/>
    <col min="23" max="23" width="62.28515625" hidden="1" customWidth="1"/>
  </cols>
  <sheetData>
    <row r="2" spans="2:23" s="3" customFormat="1" ht="17.25" x14ac:dyDescent="0.3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2:23" s="3" customFormat="1" ht="17.25" x14ac:dyDescent="0.3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2:23" x14ac:dyDescent="0.25"/>
    <row r="5" spans="2:23" s="2" customFormat="1" x14ac:dyDescent="0.25">
      <c r="B5" s="14"/>
      <c r="C5" s="42"/>
      <c r="D5" s="9" t="s">
        <v>2</v>
      </c>
      <c r="E5" s="10"/>
      <c r="F5" s="10"/>
      <c r="G5" s="10"/>
      <c r="H5" s="10"/>
      <c r="I5" s="10"/>
      <c r="J5" s="10"/>
      <c r="K5" s="11"/>
      <c r="L5" s="9" t="s">
        <v>3</v>
      </c>
      <c r="M5" s="10"/>
      <c r="N5" s="10"/>
      <c r="O5" s="10"/>
      <c r="P5" s="10"/>
      <c r="Q5" s="10"/>
      <c r="R5" s="10"/>
      <c r="S5" s="11"/>
      <c r="T5" s="9" t="s">
        <v>4</v>
      </c>
      <c r="U5" s="10"/>
      <c r="V5" s="11"/>
      <c r="W5" s="15"/>
    </row>
    <row r="6" spans="2:23" s="2" customFormat="1" ht="105" x14ac:dyDescent="0.25">
      <c r="B6" s="16" t="s">
        <v>5</v>
      </c>
      <c r="C6" s="65" t="s">
        <v>6</v>
      </c>
      <c r="D6" s="66" t="s">
        <v>7</v>
      </c>
      <c r="E6" s="67" t="s">
        <v>8</v>
      </c>
      <c r="F6" s="67" t="s">
        <v>9</v>
      </c>
      <c r="G6" s="67" t="s">
        <v>10</v>
      </c>
      <c r="H6" s="67" t="s">
        <v>11</v>
      </c>
      <c r="I6" s="67" t="s">
        <v>12</v>
      </c>
      <c r="J6" s="67" t="s">
        <v>13</v>
      </c>
      <c r="K6" s="68"/>
      <c r="L6" s="66" t="s">
        <v>14</v>
      </c>
      <c r="M6" s="67" t="s">
        <v>15</v>
      </c>
      <c r="N6" s="67" t="s">
        <v>16</v>
      </c>
      <c r="O6" s="67" t="s">
        <v>17</v>
      </c>
      <c r="P6" s="67" t="s">
        <v>18</v>
      </c>
      <c r="Q6" s="67" t="s">
        <v>19</v>
      </c>
      <c r="R6" s="67" t="s">
        <v>20</v>
      </c>
      <c r="S6" s="68"/>
      <c r="T6" s="66" t="s">
        <v>21</v>
      </c>
      <c r="U6" s="67" t="s">
        <v>22</v>
      </c>
      <c r="V6" s="68"/>
      <c r="W6" s="17" t="s">
        <v>23</v>
      </c>
    </row>
    <row r="7" spans="2:23" s="5" customFormat="1" ht="15" customHeight="1" x14ac:dyDescent="0.25">
      <c r="B7" s="12" t="s">
        <v>24</v>
      </c>
      <c r="C7" s="45">
        <f t="shared" ref="C7:C50" si="0">IF(SUM(D7:V7)=0,"",AVERAGE(D7:V7))</f>
        <v>3.5625</v>
      </c>
      <c r="D7" s="39">
        <v>4</v>
      </c>
      <c r="E7" s="40">
        <v>3</v>
      </c>
      <c r="F7" s="40">
        <v>4</v>
      </c>
      <c r="G7" s="40">
        <v>3</v>
      </c>
      <c r="H7" s="40">
        <v>2</v>
      </c>
      <c r="I7" s="59">
        <v>3</v>
      </c>
      <c r="J7" s="63">
        <v>2</v>
      </c>
      <c r="K7" s="41"/>
      <c r="L7" s="39">
        <v>1</v>
      </c>
      <c r="M7" s="40">
        <v>3</v>
      </c>
      <c r="N7" s="40">
        <v>3</v>
      </c>
      <c r="O7" s="40">
        <v>5</v>
      </c>
      <c r="P7" s="40">
        <v>5</v>
      </c>
      <c r="Q7" s="40">
        <v>5</v>
      </c>
      <c r="R7" s="40">
        <v>5</v>
      </c>
      <c r="S7" s="41"/>
      <c r="T7" s="39">
        <v>5</v>
      </c>
      <c r="U7" s="40">
        <v>4</v>
      </c>
      <c r="V7" s="41"/>
      <c r="W7" s="64" t="s">
        <v>25</v>
      </c>
    </row>
    <row r="8" spans="2:23" s="5" customFormat="1" ht="15" customHeight="1" x14ac:dyDescent="0.25">
      <c r="B8" s="13" t="s">
        <v>26</v>
      </c>
      <c r="C8" s="45">
        <f t="shared" si="0"/>
        <v>2.25</v>
      </c>
      <c r="D8" s="27">
        <v>2</v>
      </c>
      <c r="E8" s="28">
        <v>3</v>
      </c>
      <c r="F8" s="49">
        <v>2</v>
      </c>
      <c r="G8" s="28">
        <v>2</v>
      </c>
      <c r="H8" s="28">
        <v>2</v>
      </c>
      <c r="I8" s="49">
        <v>3</v>
      </c>
      <c r="J8" s="50">
        <v>2</v>
      </c>
      <c r="K8" s="29"/>
      <c r="L8" s="27">
        <v>1</v>
      </c>
      <c r="M8" s="28">
        <v>2</v>
      </c>
      <c r="N8" s="28">
        <v>2</v>
      </c>
      <c r="O8" s="28">
        <v>2</v>
      </c>
      <c r="P8" s="28">
        <v>3</v>
      </c>
      <c r="Q8" s="28">
        <v>3</v>
      </c>
      <c r="R8" s="28">
        <v>2</v>
      </c>
      <c r="S8" s="29"/>
      <c r="T8" s="27">
        <v>2</v>
      </c>
      <c r="U8" s="28">
        <v>3</v>
      </c>
      <c r="V8" s="29"/>
      <c r="W8" s="6" t="s">
        <v>25</v>
      </c>
    </row>
    <row r="9" spans="2:23" s="5" customFormat="1" ht="15" customHeight="1" x14ac:dyDescent="0.25">
      <c r="B9" s="13" t="s">
        <v>27</v>
      </c>
      <c r="C9" s="45">
        <f t="shared" si="0"/>
        <v>2.25</v>
      </c>
      <c r="D9" s="27">
        <v>2</v>
      </c>
      <c r="E9" s="28">
        <v>3</v>
      </c>
      <c r="F9" s="28">
        <v>3</v>
      </c>
      <c r="G9" s="28">
        <v>2</v>
      </c>
      <c r="H9" s="50">
        <v>2</v>
      </c>
      <c r="I9" s="49">
        <v>3</v>
      </c>
      <c r="J9" s="28">
        <v>3</v>
      </c>
      <c r="K9" s="29"/>
      <c r="L9" s="27">
        <v>1</v>
      </c>
      <c r="M9" s="28">
        <v>3</v>
      </c>
      <c r="N9" s="28">
        <v>1</v>
      </c>
      <c r="O9" s="28">
        <v>2</v>
      </c>
      <c r="P9" s="28">
        <v>2</v>
      </c>
      <c r="Q9" s="28">
        <v>2</v>
      </c>
      <c r="R9" s="28">
        <v>2</v>
      </c>
      <c r="S9" s="29"/>
      <c r="T9" s="27">
        <v>3</v>
      </c>
      <c r="U9" s="28">
        <v>2</v>
      </c>
      <c r="V9" s="29"/>
      <c r="W9" s="6" t="s">
        <v>28</v>
      </c>
    </row>
    <row r="10" spans="2:23" s="5" customFormat="1" ht="15" customHeight="1" x14ac:dyDescent="0.25">
      <c r="B10" s="13" t="s">
        <v>29</v>
      </c>
      <c r="C10" s="45">
        <f t="shared" si="0"/>
        <v>2.3333333333333335</v>
      </c>
      <c r="D10" s="27">
        <v>3</v>
      </c>
      <c r="E10" s="28">
        <v>2</v>
      </c>
      <c r="F10" s="28">
        <v>3</v>
      </c>
      <c r="G10" s="28">
        <v>2</v>
      </c>
      <c r="H10" s="28">
        <v>1</v>
      </c>
      <c r="I10" s="50">
        <v>2</v>
      </c>
      <c r="J10" s="28"/>
      <c r="K10" s="29"/>
      <c r="L10" s="27">
        <v>3</v>
      </c>
      <c r="M10" s="28">
        <v>3</v>
      </c>
      <c r="N10" s="28">
        <v>3</v>
      </c>
      <c r="O10" s="28">
        <v>2</v>
      </c>
      <c r="P10" s="28">
        <v>3</v>
      </c>
      <c r="Q10" s="28">
        <v>3</v>
      </c>
      <c r="R10" s="28">
        <v>2</v>
      </c>
      <c r="S10" s="29"/>
      <c r="T10" s="27">
        <v>1</v>
      </c>
      <c r="U10" s="28">
        <v>2</v>
      </c>
      <c r="V10" s="29"/>
      <c r="W10" s="6" t="s">
        <v>30</v>
      </c>
    </row>
    <row r="11" spans="2:23" s="5" customFormat="1" ht="15" customHeight="1" x14ac:dyDescent="0.25">
      <c r="B11" s="13" t="s">
        <v>31</v>
      </c>
      <c r="C11" s="45">
        <f t="shared" si="0"/>
        <v>2.1428571428571428</v>
      </c>
      <c r="D11" s="27">
        <v>2</v>
      </c>
      <c r="E11" s="28">
        <v>2</v>
      </c>
      <c r="F11" s="28">
        <v>2</v>
      </c>
      <c r="G11" s="28">
        <v>2</v>
      </c>
      <c r="H11" s="28">
        <v>1</v>
      </c>
      <c r="I11" s="49">
        <v>3</v>
      </c>
      <c r="J11" s="28"/>
      <c r="K11" s="29"/>
      <c r="L11" s="27">
        <v>1</v>
      </c>
      <c r="M11" s="28">
        <v>2</v>
      </c>
      <c r="N11" s="28">
        <v>2</v>
      </c>
      <c r="O11" s="28">
        <v>3</v>
      </c>
      <c r="P11" s="28">
        <v>3</v>
      </c>
      <c r="Q11" s="28">
        <v>3</v>
      </c>
      <c r="R11" s="28">
        <v>2</v>
      </c>
      <c r="S11" s="29"/>
      <c r="T11" s="27">
        <v>2</v>
      </c>
      <c r="U11" s="28"/>
      <c r="V11" s="29"/>
      <c r="W11" s="6" t="s">
        <v>32</v>
      </c>
    </row>
    <row r="12" spans="2:23" s="5" customFormat="1" ht="15" customHeight="1" x14ac:dyDescent="0.25">
      <c r="B12" s="13" t="s">
        <v>33</v>
      </c>
      <c r="C12" s="45">
        <f t="shared" si="0"/>
        <v>2.6428571428571428</v>
      </c>
      <c r="D12" s="27">
        <v>4</v>
      </c>
      <c r="E12" s="28">
        <v>2</v>
      </c>
      <c r="F12" s="28">
        <v>2</v>
      </c>
      <c r="G12" s="28">
        <v>3</v>
      </c>
      <c r="H12" s="28">
        <v>2</v>
      </c>
      <c r="I12" s="49">
        <v>3</v>
      </c>
      <c r="J12" s="28"/>
      <c r="K12" s="29"/>
      <c r="L12" s="27">
        <v>1</v>
      </c>
      <c r="M12" s="28">
        <v>3</v>
      </c>
      <c r="N12" s="28">
        <v>3</v>
      </c>
      <c r="O12" s="28">
        <v>3</v>
      </c>
      <c r="P12" s="28">
        <v>3</v>
      </c>
      <c r="Q12" s="28">
        <v>3</v>
      </c>
      <c r="R12" s="28">
        <v>3</v>
      </c>
      <c r="S12" s="29"/>
      <c r="T12" s="27">
        <v>2</v>
      </c>
      <c r="U12" s="28"/>
      <c r="V12" s="29"/>
      <c r="W12" s="6" t="s">
        <v>34</v>
      </c>
    </row>
    <row r="13" spans="2:23" s="5" customFormat="1" ht="15" customHeight="1" x14ac:dyDescent="0.25">
      <c r="B13" s="13" t="s">
        <v>35</v>
      </c>
      <c r="C13" s="45">
        <f t="shared" si="0"/>
        <v>2.8571428571428572</v>
      </c>
      <c r="D13" s="27">
        <v>4</v>
      </c>
      <c r="E13" s="28">
        <v>3</v>
      </c>
      <c r="F13" s="28">
        <v>2</v>
      </c>
      <c r="G13" s="28">
        <v>3</v>
      </c>
      <c r="H13" s="28">
        <v>2</v>
      </c>
      <c r="I13" s="49">
        <v>3</v>
      </c>
      <c r="J13" s="28"/>
      <c r="K13" s="29"/>
      <c r="L13" s="27">
        <v>1</v>
      </c>
      <c r="M13" s="28">
        <v>3</v>
      </c>
      <c r="N13" s="28">
        <v>4</v>
      </c>
      <c r="O13" s="28">
        <v>3</v>
      </c>
      <c r="P13" s="28">
        <v>3</v>
      </c>
      <c r="Q13" s="28">
        <v>3</v>
      </c>
      <c r="R13" s="28">
        <v>3</v>
      </c>
      <c r="S13" s="29"/>
      <c r="T13" s="27">
        <v>3</v>
      </c>
      <c r="U13" s="28"/>
      <c r="V13" s="29"/>
      <c r="W13" s="6" t="s">
        <v>36</v>
      </c>
    </row>
    <row r="14" spans="2:23" s="5" customFormat="1" ht="15" customHeight="1" x14ac:dyDescent="0.25">
      <c r="B14" s="13" t="s">
        <v>37</v>
      </c>
      <c r="C14" s="45">
        <f t="shared" si="0"/>
        <v>4.0625</v>
      </c>
      <c r="D14" s="27">
        <v>4</v>
      </c>
      <c r="E14" s="28">
        <v>4</v>
      </c>
      <c r="F14" s="28">
        <v>4</v>
      </c>
      <c r="G14" s="28">
        <v>4</v>
      </c>
      <c r="H14" s="54">
        <v>5</v>
      </c>
      <c r="I14" s="54">
        <v>5</v>
      </c>
      <c r="J14" s="54">
        <v>5</v>
      </c>
      <c r="K14" s="29"/>
      <c r="L14" s="27">
        <v>5</v>
      </c>
      <c r="M14" s="28">
        <v>3</v>
      </c>
      <c r="N14" s="28">
        <v>3</v>
      </c>
      <c r="O14" s="28">
        <v>4</v>
      </c>
      <c r="P14" s="28">
        <v>3</v>
      </c>
      <c r="Q14" s="28">
        <v>4</v>
      </c>
      <c r="R14" s="28">
        <v>3</v>
      </c>
      <c r="S14" s="29"/>
      <c r="T14" s="27">
        <v>5</v>
      </c>
      <c r="U14" s="28">
        <v>4</v>
      </c>
      <c r="V14" s="29"/>
      <c r="W14" s="6" t="s">
        <v>38</v>
      </c>
    </row>
    <row r="15" spans="2:23" s="5" customFormat="1" ht="15" customHeight="1" x14ac:dyDescent="0.25">
      <c r="B15" s="13" t="s">
        <v>39</v>
      </c>
      <c r="C15" s="45">
        <f t="shared" si="0"/>
        <v>2.1333333333333333</v>
      </c>
      <c r="D15" s="27">
        <v>3</v>
      </c>
      <c r="E15" s="28">
        <v>3</v>
      </c>
      <c r="F15" s="28">
        <v>3</v>
      </c>
      <c r="G15" s="28">
        <v>2</v>
      </c>
      <c r="H15" s="28">
        <v>1</v>
      </c>
      <c r="I15" s="50">
        <v>2</v>
      </c>
      <c r="J15" s="28"/>
      <c r="K15" s="29"/>
      <c r="L15" s="27">
        <v>1</v>
      </c>
      <c r="M15" s="28">
        <v>3</v>
      </c>
      <c r="N15" s="28">
        <v>1</v>
      </c>
      <c r="O15" s="28">
        <v>2</v>
      </c>
      <c r="P15" s="28">
        <v>2</v>
      </c>
      <c r="Q15" s="28">
        <v>3</v>
      </c>
      <c r="R15" s="28">
        <v>2</v>
      </c>
      <c r="S15" s="29"/>
      <c r="T15" s="27">
        <v>2</v>
      </c>
      <c r="U15" s="28">
        <v>2</v>
      </c>
      <c r="V15" s="29"/>
      <c r="W15" s="6" t="s">
        <v>40</v>
      </c>
    </row>
    <row r="16" spans="2:23" s="5" customFormat="1" ht="15" customHeight="1" x14ac:dyDescent="0.25">
      <c r="B16" s="13" t="s">
        <v>41</v>
      </c>
      <c r="C16" s="46">
        <f t="shared" si="0"/>
        <v>2.2000000000000002</v>
      </c>
      <c r="D16" s="27">
        <v>2</v>
      </c>
      <c r="E16" s="28">
        <v>2</v>
      </c>
      <c r="F16" s="28">
        <v>2</v>
      </c>
      <c r="G16" s="28">
        <v>2</v>
      </c>
      <c r="H16" s="28">
        <v>2</v>
      </c>
      <c r="I16" s="49">
        <v>3</v>
      </c>
      <c r="J16" s="28"/>
      <c r="K16" s="29"/>
      <c r="L16" s="27">
        <v>1</v>
      </c>
      <c r="M16" s="28">
        <v>2</v>
      </c>
      <c r="N16" s="28">
        <v>1</v>
      </c>
      <c r="O16" s="28">
        <v>3</v>
      </c>
      <c r="P16" s="28">
        <v>3</v>
      </c>
      <c r="Q16" s="28">
        <v>4</v>
      </c>
      <c r="R16" s="28">
        <v>2</v>
      </c>
      <c r="S16" s="29"/>
      <c r="T16" s="27">
        <v>2</v>
      </c>
      <c r="U16" s="28">
        <v>2</v>
      </c>
      <c r="V16" s="29"/>
      <c r="W16" s="6" t="s">
        <v>42</v>
      </c>
    </row>
    <row r="17" spans="2:23" s="5" customFormat="1" ht="15" customHeight="1" x14ac:dyDescent="0.25">
      <c r="B17" s="13" t="s">
        <v>43</v>
      </c>
      <c r="C17" s="46">
        <f t="shared" si="0"/>
        <v>3.0714285714285716</v>
      </c>
      <c r="D17" s="27">
        <v>3</v>
      </c>
      <c r="E17" s="28">
        <v>3</v>
      </c>
      <c r="F17" s="28">
        <v>3</v>
      </c>
      <c r="G17" s="28">
        <v>3</v>
      </c>
      <c r="H17" s="28">
        <v>2</v>
      </c>
      <c r="I17" s="49">
        <v>3</v>
      </c>
      <c r="J17" s="28"/>
      <c r="K17" s="29"/>
      <c r="L17" s="27">
        <v>4</v>
      </c>
      <c r="M17" s="28">
        <v>2</v>
      </c>
      <c r="N17" s="28">
        <v>3</v>
      </c>
      <c r="O17" s="28">
        <v>3</v>
      </c>
      <c r="P17" s="28">
        <v>3</v>
      </c>
      <c r="Q17" s="28">
        <v>4</v>
      </c>
      <c r="R17" s="28">
        <v>4</v>
      </c>
      <c r="S17" s="29"/>
      <c r="T17" s="27">
        <v>3</v>
      </c>
      <c r="U17" s="28"/>
      <c r="V17" s="29"/>
      <c r="W17" s="6" t="s">
        <v>44</v>
      </c>
    </row>
    <row r="18" spans="2:23" s="5" customFormat="1" ht="15" customHeight="1" x14ac:dyDescent="0.25">
      <c r="B18" s="13" t="s">
        <v>45</v>
      </c>
      <c r="C18" s="46">
        <f t="shared" si="0"/>
        <v>2.0714285714285716</v>
      </c>
      <c r="D18" s="27">
        <v>2</v>
      </c>
      <c r="E18" s="28">
        <v>2</v>
      </c>
      <c r="F18" s="28">
        <v>2</v>
      </c>
      <c r="G18" s="28">
        <v>2</v>
      </c>
      <c r="H18" s="28">
        <v>2</v>
      </c>
      <c r="I18" s="50">
        <v>2</v>
      </c>
      <c r="J18" s="28"/>
      <c r="K18" s="29"/>
      <c r="L18" s="27">
        <v>1</v>
      </c>
      <c r="M18" s="28">
        <v>2</v>
      </c>
      <c r="N18" s="28">
        <v>1</v>
      </c>
      <c r="O18" s="28">
        <v>3</v>
      </c>
      <c r="P18" s="28">
        <v>3</v>
      </c>
      <c r="Q18" s="28">
        <v>4</v>
      </c>
      <c r="R18" s="28">
        <v>2</v>
      </c>
      <c r="S18" s="29"/>
      <c r="T18" s="27">
        <v>1</v>
      </c>
      <c r="U18" s="28"/>
      <c r="V18" s="29"/>
      <c r="W18" s="6" t="s">
        <v>25</v>
      </c>
    </row>
    <row r="19" spans="2:23" s="5" customFormat="1" ht="15" customHeight="1" x14ac:dyDescent="0.25">
      <c r="B19" s="13" t="s">
        <v>46</v>
      </c>
      <c r="C19" s="46">
        <f t="shared" si="0"/>
        <v>3.1875</v>
      </c>
      <c r="D19" s="27">
        <v>2</v>
      </c>
      <c r="E19" s="28">
        <v>4</v>
      </c>
      <c r="F19" s="28">
        <v>3</v>
      </c>
      <c r="G19" s="28">
        <v>4</v>
      </c>
      <c r="H19" s="28">
        <v>3</v>
      </c>
      <c r="I19" s="49">
        <v>3</v>
      </c>
      <c r="J19" s="53">
        <v>2</v>
      </c>
      <c r="K19" s="29"/>
      <c r="L19" s="27">
        <v>4</v>
      </c>
      <c r="M19" s="28">
        <v>4</v>
      </c>
      <c r="N19" s="28">
        <v>4</v>
      </c>
      <c r="O19" s="28">
        <v>3</v>
      </c>
      <c r="P19" s="28">
        <v>3</v>
      </c>
      <c r="Q19" s="28">
        <v>3</v>
      </c>
      <c r="R19" s="28">
        <v>3</v>
      </c>
      <c r="S19" s="29"/>
      <c r="T19" s="27">
        <v>3</v>
      </c>
      <c r="U19" s="28">
        <v>3</v>
      </c>
      <c r="V19" s="29"/>
      <c r="W19" s="6" t="s">
        <v>47</v>
      </c>
    </row>
    <row r="20" spans="2:23" s="5" customFormat="1" ht="15" customHeight="1" x14ac:dyDescent="0.25">
      <c r="B20" s="13" t="s">
        <v>48</v>
      </c>
      <c r="C20" s="46">
        <f t="shared" si="0"/>
        <v>2.125</v>
      </c>
      <c r="D20" s="27">
        <v>2</v>
      </c>
      <c r="E20" s="28">
        <v>2</v>
      </c>
      <c r="F20" s="28">
        <v>2</v>
      </c>
      <c r="G20" s="28">
        <v>2</v>
      </c>
      <c r="H20" s="28">
        <v>2</v>
      </c>
      <c r="I20" s="50">
        <v>2</v>
      </c>
      <c r="J20" s="50">
        <v>2</v>
      </c>
      <c r="K20" s="29"/>
      <c r="L20" s="27">
        <v>1</v>
      </c>
      <c r="M20" s="28">
        <v>3</v>
      </c>
      <c r="N20" s="28">
        <v>1</v>
      </c>
      <c r="O20" s="28">
        <v>2</v>
      </c>
      <c r="P20" s="28">
        <v>3</v>
      </c>
      <c r="Q20" s="28">
        <v>3</v>
      </c>
      <c r="R20" s="28">
        <v>2</v>
      </c>
      <c r="S20" s="29"/>
      <c r="T20" s="27">
        <v>2</v>
      </c>
      <c r="U20" s="28">
        <v>3</v>
      </c>
      <c r="V20" s="29"/>
      <c r="W20" s="6" t="s">
        <v>25</v>
      </c>
    </row>
    <row r="21" spans="2:23" s="5" customFormat="1" ht="15" customHeight="1" x14ac:dyDescent="0.25">
      <c r="B21" s="13" t="s">
        <v>49</v>
      </c>
      <c r="C21" s="46">
        <f t="shared" si="0"/>
        <v>2.2666666666666666</v>
      </c>
      <c r="D21" s="27">
        <v>2</v>
      </c>
      <c r="E21" s="28">
        <v>3</v>
      </c>
      <c r="F21" s="28">
        <v>2</v>
      </c>
      <c r="G21" s="28">
        <v>2</v>
      </c>
      <c r="H21" s="28">
        <v>2</v>
      </c>
      <c r="I21" s="49">
        <v>3</v>
      </c>
      <c r="J21" s="28"/>
      <c r="K21" s="29"/>
      <c r="L21" s="27">
        <v>1</v>
      </c>
      <c r="M21" s="28">
        <v>2</v>
      </c>
      <c r="N21" s="28">
        <v>1</v>
      </c>
      <c r="O21" s="28">
        <v>2</v>
      </c>
      <c r="P21" s="28">
        <v>3</v>
      </c>
      <c r="Q21" s="28">
        <v>3</v>
      </c>
      <c r="R21" s="28">
        <v>3</v>
      </c>
      <c r="S21" s="29"/>
      <c r="T21" s="27">
        <v>3</v>
      </c>
      <c r="U21" s="28">
        <v>2</v>
      </c>
      <c r="V21" s="29"/>
      <c r="W21" s="6" t="s">
        <v>50</v>
      </c>
    </row>
    <row r="22" spans="2:23" s="5" customFormat="1" ht="15" customHeight="1" x14ac:dyDescent="0.25">
      <c r="B22" s="13" t="s">
        <v>51</v>
      </c>
      <c r="C22" s="46">
        <f t="shared" si="0"/>
        <v>2.7142857142857144</v>
      </c>
      <c r="D22" s="27">
        <v>3</v>
      </c>
      <c r="E22" s="28">
        <v>3</v>
      </c>
      <c r="F22" s="28">
        <v>2</v>
      </c>
      <c r="G22" s="28">
        <v>3</v>
      </c>
      <c r="H22" s="28">
        <v>2</v>
      </c>
      <c r="I22" s="49">
        <v>3</v>
      </c>
      <c r="J22" s="28"/>
      <c r="K22" s="29"/>
      <c r="L22" s="27">
        <v>3</v>
      </c>
      <c r="M22" s="28">
        <v>2</v>
      </c>
      <c r="N22" s="28">
        <v>1</v>
      </c>
      <c r="O22" s="28">
        <v>2</v>
      </c>
      <c r="P22" s="28">
        <v>3</v>
      </c>
      <c r="Q22" s="28">
        <v>4</v>
      </c>
      <c r="R22" s="28">
        <v>4</v>
      </c>
      <c r="S22" s="29"/>
      <c r="T22" s="27">
        <v>3</v>
      </c>
      <c r="U22" s="28"/>
      <c r="V22" s="29"/>
      <c r="W22" s="6" t="s">
        <v>52</v>
      </c>
    </row>
    <row r="23" spans="2:23" s="5" customFormat="1" ht="15" customHeight="1" x14ac:dyDescent="0.25">
      <c r="B23" s="13" t="s">
        <v>53</v>
      </c>
      <c r="C23" s="46">
        <f t="shared" si="0"/>
        <v>2.6</v>
      </c>
      <c r="D23" s="27">
        <v>2</v>
      </c>
      <c r="E23" s="28">
        <v>3</v>
      </c>
      <c r="F23" s="28">
        <v>2</v>
      </c>
      <c r="G23" s="28">
        <v>2</v>
      </c>
      <c r="H23" s="28">
        <v>2</v>
      </c>
      <c r="I23" s="49">
        <v>3</v>
      </c>
      <c r="J23" s="28"/>
      <c r="K23" s="29"/>
      <c r="L23" s="27">
        <v>1</v>
      </c>
      <c r="M23" s="28">
        <v>3</v>
      </c>
      <c r="N23" s="28">
        <v>3</v>
      </c>
      <c r="O23" s="28">
        <v>4</v>
      </c>
      <c r="P23" s="28">
        <v>3</v>
      </c>
      <c r="Q23" s="28">
        <v>3</v>
      </c>
      <c r="R23" s="28">
        <v>3</v>
      </c>
      <c r="S23" s="29"/>
      <c r="T23" s="27">
        <v>3</v>
      </c>
      <c r="U23" s="28">
        <v>2</v>
      </c>
      <c r="V23" s="29"/>
      <c r="W23" s="6" t="s">
        <v>25</v>
      </c>
    </row>
    <row r="24" spans="2:23" s="5" customFormat="1" ht="15" customHeight="1" x14ac:dyDescent="0.25">
      <c r="B24" s="13" t="s">
        <v>54</v>
      </c>
      <c r="C24" s="46">
        <f t="shared" si="0"/>
        <v>3</v>
      </c>
      <c r="D24" s="27">
        <v>3</v>
      </c>
      <c r="E24" s="28">
        <v>4</v>
      </c>
      <c r="F24" s="28">
        <v>3</v>
      </c>
      <c r="G24" s="28">
        <v>3</v>
      </c>
      <c r="H24" s="28">
        <v>3</v>
      </c>
      <c r="I24" s="49">
        <v>4</v>
      </c>
      <c r="J24" s="28"/>
      <c r="K24" s="29"/>
      <c r="L24" s="27">
        <v>1</v>
      </c>
      <c r="M24" s="28"/>
      <c r="N24" s="28"/>
      <c r="O24" s="28">
        <v>3</v>
      </c>
      <c r="P24" s="28"/>
      <c r="Q24" s="28"/>
      <c r="R24" s="28"/>
      <c r="S24" s="29"/>
      <c r="T24" s="27">
        <v>3</v>
      </c>
      <c r="U24" s="28"/>
      <c r="V24" s="29"/>
      <c r="W24" s="6" t="s">
        <v>25</v>
      </c>
    </row>
    <row r="25" spans="2:23" s="5" customFormat="1" ht="15" customHeight="1" x14ac:dyDescent="0.25">
      <c r="B25" s="13" t="s">
        <v>55</v>
      </c>
      <c r="C25" s="46">
        <f t="shared" si="0"/>
        <v>2.1333333333333333</v>
      </c>
      <c r="D25" s="27">
        <v>2</v>
      </c>
      <c r="E25" s="28">
        <v>2</v>
      </c>
      <c r="F25" s="28">
        <v>2</v>
      </c>
      <c r="G25" s="28">
        <v>1</v>
      </c>
      <c r="H25" s="28">
        <v>1</v>
      </c>
      <c r="I25" s="49">
        <v>3</v>
      </c>
      <c r="J25" s="28"/>
      <c r="K25" s="29"/>
      <c r="L25" s="27">
        <v>1</v>
      </c>
      <c r="M25" s="28">
        <v>3</v>
      </c>
      <c r="N25" s="28">
        <v>2</v>
      </c>
      <c r="O25" s="28">
        <v>3</v>
      </c>
      <c r="P25" s="28">
        <v>3</v>
      </c>
      <c r="Q25" s="28">
        <v>4</v>
      </c>
      <c r="R25" s="28">
        <v>1</v>
      </c>
      <c r="S25" s="29"/>
      <c r="T25" s="27">
        <v>2</v>
      </c>
      <c r="U25" s="28">
        <v>2</v>
      </c>
      <c r="V25" s="29"/>
      <c r="W25" s="6" t="s">
        <v>56</v>
      </c>
    </row>
    <row r="26" spans="2:23" s="5" customFormat="1" ht="15" customHeight="1" x14ac:dyDescent="0.25">
      <c r="B26" s="13" t="s">
        <v>57</v>
      </c>
      <c r="C26" s="46">
        <f t="shared" si="0"/>
        <v>3.0714285714285716</v>
      </c>
      <c r="D26" s="27">
        <v>3</v>
      </c>
      <c r="E26" s="28">
        <v>4</v>
      </c>
      <c r="F26" s="28">
        <v>3</v>
      </c>
      <c r="G26" s="28">
        <v>3</v>
      </c>
      <c r="H26" s="28">
        <v>3</v>
      </c>
      <c r="I26" s="49">
        <v>3</v>
      </c>
      <c r="J26" s="28"/>
      <c r="K26" s="29"/>
      <c r="L26" s="27">
        <v>3</v>
      </c>
      <c r="M26" s="28">
        <v>2</v>
      </c>
      <c r="N26" s="28">
        <v>1</v>
      </c>
      <c r="O26" s="28">
        <v>4</v>
      </c>
      <c r="P26" s="28">
        <v>3</v>
      </c>
      <c r="Q26" s="28">
        <v>4</v>
      </c>
      <c r="R26" s="28">
        <v>4</v>
      </c>
      <c r="S26" s="29"/>
      <c r="T26" s="27">
        <v>3</v>
      </c>
      <c r="U26" s="28"/>
      <c r="V26" s="29"/>
      <c r="W26" s="6" t="s">
        <v>58</v>
      </c>
    </row>
    <row r="27" spans="2:23" s="5" customFormat="1" ht="15" customHeight="1" x14ac:dyDescent="0.25">
      <c r="B27" s="36" t="s">
        <v>59</v>
      </c>
      <c r="C27" s="47" t="str">
        <f t="shared" si="0"/>
        <v/>
      </c>
      <c r="D27" s="27"/>
      <c r="E27" s="28"/>
      <c r="F27" s="28"/>
      <c r="G27" s="28"/>
      <c r="H27" s="28"/>
      <c r="I27" s="28"/>
      <c r="J27" s="28"/>
      <c r="K27" s="29"/>
      <c r="L27" s="27"/>
      <c r="M27" s="28"/>
      <c r="N27" s="28"/>
      <c r="O27" s="28"/>
      <c r="P27" s="28"/>
      <c r="Q27" s="28"/>
      <c r="R27" s="28"/>
      <c r="S27" s="29"/>
      <c r="T27" s="27"/>
      <c r="U27" s="28"/>
      <c r="V27" s="29"/>
      <c r="W27" s="6" t="s">
        <v>60</v>
      </c>
    </row>
    <row r="28" spans="2:23" s="5" customFormat="1" ht="15" customHeight="1" x14ac:dyDescent="0.25">
      <c r="B28" s="13" t="s">
        <v>61</v>
      </c>
      <c r="C28" s="46">
        <f t="shared" si="0"/>
        <v>2</v>
      </c>
      <c r="D28" s="27">
        <v>1</v>
      </c>
      <c r="E28" s="28">
        <v>1</v>
      </c>
      <c r="F28" s="50">
        <v>2</v>
      </c>
      <c r="G28" s="28">
        <v>2</v>
      </c>
      <c r="H28" s="28">
        <v>1</v>
      </c>
      <c r="I28" s="50">
        <v>2</v>
      </c>
      <c r="J28" s="28"/>
      <c r="K28" s="29"/>
      <c r="L28" s="27">
        <v>1</v>
      </c>
      <c r="M28" s="28">
        <v>2</v>
      </c>
      <c r="N28" s="28">
        <v>2</v>
      </c>
      <c r="O28" s="28">
        <v>3</v>
      </c>
      <c r="P28" s="28">
        <v>3</v>
      </c>
      <c r="Q28" s="28">
        <v>3</v>
      </c>
      <c r="R28" s="28">
        <v>3</v>
      </c>
      <c r="S28" s="29"/>
      <c r="T28" s="27">
        <v>2</v>
      </c>
      <c r="U28" s="28"/>
      <c r="V28" s="29"/>
      <c r="W28" s="6" t="s">
        <v>62</v>
      </c>
    </row>
    <row r="29" spans="2:23" s="5" customFormat="1" ht="15" customHeight="1" x14ac:dyDescent="0.25">
      <c r="B29" s="13" t="s">
        <v>63</v>
      </c>
      <c r="C29" s="46">
        <f t="shared" si="0"/>
        <v>2.875</v>
      </c>
      <c r="D29" s="27">
        <v>3</v>
      </c>
      <c r="E29" s="28">
        <v>4</v>
      </c>
      <c r="F29" s="28">
        <v>3</v>
      </c>
      <c r="G29" s="28">
        <v>2</v>
      </c>
      <c r="H29" s="28">
        <v>3</v>
      </c>
      <c r="I29" s="55">
        <v>4</v>
      </c>
      <c r="J29" s="49">
        <v>3</v>
      </c>
      <c r="K29" s="29"/>
      <c r="L29" s="27">
        <v>1</v>
      </c>
      <c r="M29" s="28">
        <v>2</v>
      </c>
      <c r="N29" s="28">
        <v>1</v>
      </c>
      <c r="O29" s="28">
        <v>3</v>
      </c>
      <c r="P29" s="28">
        <v>3</v>
      </c>
      <c r="Q29" s="28">
        <v>4</v>
      </c>
      <c r="R29" s="28">
        <v>2</v>
      </c>
      <c r="S29" s="29"/>
      <c r="T29" s="27">
        <v>4</v>
      </c>
      <c r="U29" s="28">
        <v>4</v>
      </c>
      <c r="V29" s="29"/>
      <c r="W29" s="6" t="s">
        <v>64</v>
      </c>
    </row>
    <row r="30" spans="2:23" s="5" customFormat="1" ht="15" customHeight="1" x14ac:dyDescent="0.25">
      <c r="B30" s="13" t="s">
        <v>65</v>
      </c>
      <c r="C30" s="46">
        <f t="shared" si="0"/>
        <v>2.4666666666666668</v>
      </c>
      <c r="D30" s="27">
        <v>3</v>
      </c>
      <c r="E30" s="28">
        <v>3</v>
      </c>
      <c r="F30" s="28">
        <v>3</v>
      </c>
      <c r="G30" s="28">
        <v>2</v>
      </c>
      <c r="H30" s="28">
        <v>2</v>
      </c>
      <c r="I30" s="28">
        <v>3</v>
      </c>
      <c r="J30" s="28"/>
      <c r="K30" s="29"/>
      <c r="L30" s="27">
        <v>1</v>
      </c>
      <c r="M30" s="28">
        <v>3</v>
      </c>
      <c r="N30" s="28">
        <v>3</v>
      </c>
      <c r="O30" s="28">
        <v>2</v>
      </c>
      <c r="P30" s="28">
        <v>3</v>
      </c>
      <c r="Q30" s="28">
        <v>3</v>
      </c>
      <c r="R30" s="28">
        <v>2</v>
      </c>
      <c r="S30" s="29"/>
      <c r="T30" s="27">
        <v>2</v>
      </c>
      <c r="U30" s="28">
        <v>2</v>
      </c>
      <c r="V30" s="29"/>
      <c r="W30" s="6" t="s">
        <v>66</v>
      </c>
    </row>
    <row r="31" spans="2:23" ht="15" customHeight="1" x14ac:dyDescent="0.25">
      <c r="B31" s="13" t="s">
        <v>67</v>
      </c>
      <c r="C31" s="46">
        <f t="shared" si="0"/>
        <v>4.5999999999999996</v>
      </c>
      <c r="D31" s="27">
        <v>4</v>
      </c>
      <c r="E31" s="28">
        <v>4</v>
      </c>
      <c r="F31" s="28">
        <v>5</v>
      </c>
      <c r="G31" s="28">
        <v>5</v>
      </c>
      <c r="H31" s="28">
        <v>5</v>
      </c>
      <c r="I31" s="55">
        <v>5</v>
      </c>
      <c r="J31" s="28"/>
      <c r="K31" s="29"/>
      <c r="L31" s="27">
        <v>5</v>
      </c>
      <c r="M31" s="28">
        <v>5</v>
      </c>
      <c r="N31" s="28">
        <v>4</v>
      </c>
      <c r="O31" s="28">
        <v>5</v>
      </c>
      <c r="P31" s="28">
        <v>5</v>
      </c>
      <c r="Q31" s="28">
        <v>4</v>
      </c>
      <c r="R31" s="28">
        <v>5</v>
      </c>
      <c r="S31" s="29"/>
      <c r="T31" s="27">
        <v>4</v>
      </c>
      <c r="U31" s="28">
        <v>4</v>
      </c>
      <c r="V31" s="29"/>
      <c r="W31" s="6" t="s">
        <v>68</v>
      </c>
    </row>
    <row r="32" spans="2:23" ht="15" customHeight="1" x14ac:dyDescent="0.25">
      <c r="B32" s="13" t="s">
        <v>69</v>
      </c>
      <c r="C32" s="57">
        <f t="shared" si="0"/>
        <v>1.1333333333333333</v>
      </c>
      <c r="D32" s="27">
        <v>1</v>
      </c>
      <c r="E32" s="28">
        <v>1</v>
      </c>
      <c r="F32" s="28">
        <v>1</v>
      </c>
      <c r="G32" s="28">
        <v>1</v>
      </c>
      <c r="H32" s="28">
        <v>1</v>
      </c>
      <c r="I32" s="28">
        <v>2</v>
      </c>
      <c r="J32" s="28"/>
      <c r="K32" s="29"/>
      <c r="L32" s="27">
        <v>1</v>
      </c>
      <c r="M32" s="28">
        <v>1</v>
      </c>
      <c r="N32" s="28">
        <v>1</v>
      </c>
      <c r="O32" s="28">
        <v>1</v>
      </c>
      <c r="P32" s="28">
        <v>1</v>
      </c>
      <c r="Q32" s="28">
        <v>1</v>
      </c>
      <c r="R32" s="28">
        <v>1</v>
      </c>
      <c r="S32" s="29"/>
      <c r="T32" s="27">
        <v>2</v>
      </c>
      <c r="U32" s="28">
        <v>1</v>
      </c>
      <c r="V32" s="29"/>
      <c r="W32" s="7" t="s">
        <v>70</v>
      </c>
    </row>
    <row r="33" spans="2:23" ht="15" customHeight="1" x14ac:dyDescent="0.25">
      <c r="B33" s="13" t="s">
        <v>71</v>
      </c>
      <c r="C33" s="57">
        <f t="shared" si="0"/>
        <v>5</v>
      </c>
      <c r="D33" s="27">
        <v>5</v>
      </c>
      <c r="E33" s="28">
        <v>5</v>
      </c>
      <c r="F33" s="28">
        <v>5</v>
      </c>
      <c r="G33" s="28">
        <v>5</v>
      </c>
      <c r="H33" s="28">
        <v>5</v>
      </c>
      <c r="I33" s="28">
        <v>5</v>
      </c>
      <c r="J33" s="28">
        <v>5</v>
      </c>
      <c r="K33" s="29"/>
      <c r="L33" s="27">
        <v>5</v>
      </c>
      <c r="M33" s="28">
        <v>5</v>
      </c>
      <c r="N33" s="28">
        <v>5</v>
      </c>
      <c r="O33" s="28">
        <v>5</v>
      </c>
      <c r="P33" s="28">
        <v>5</v>
      </c>
      <c r="Q33" s="28">
        <v>5</v>
      </c>
      <c r="R33" s="28">
        <v>5</v>
      </c>
      <c r="S33" s="29"/>
      <c r="T33" s="27">
        <v>5</v>
      </c>
      <c r="U33" s="28">
        <v>5</v>
      </c>
      <c r="V33" s="29"/>
      <c r="W33" s="7" t="s">
        <v>72</v>
      </c>
    </row>
    <row r="34" spans="2:23" ht="15" customHeight="1" x14ac:dyDescent="0.25">
      <c r="B34" s="13" t="s">
        <v>73</v>
      </c>
      <c r="C34" s="46">
        <f t="shared" si="0"/>
        <v>3.75</v>
      </c>
      <c r="D34" s="27">
        <v>4</v>
      </c>
      <c r="E34" s="28">
        <v>4</v>
      </c>
      <c r="F34" s="28">
        <v>5</v>
      </c>
      <c r="G34" s="28">
        <v>5</v>
      </c>
      <c r="H34" s="28">
        <v>4</v>
      </c>
      <c r="I34" s="55">
        <v>4</v>
      </c>
      <c r="J34" s="55">
        <v>4</v>
      </c>
      <c r="K34" s="29"/>
      <c r="L34" s="27">
        <v>5</v>
      </c>
      <c r="M34" s="28">
        <v>3</v>
      </c>
      <c r="N34" s="28">
        <v>3</v>
      </c>
      <c r="O34" s="28">
        <v>3</v>
      </c>
      <c r="P34" s="28">
        <v>3</v>
      </c>
      <c r="Q34" s="28">
        <v>3</v>
      </c>
      <c r="R34" s="28">
        <v>3</v>
      </c>
      <c r="S34" s="29"/>
      <c r="T34" s="27">
        <v>4</v>
      </c>
      <c r="U34" s="28">
        <v>3</v>
      </c>
      <c r="V34" s="29"/>
      <c r="W34" s="7" t="s">
        <v>74</v>
      </c>
    </row>
    <row r="35" spans="2:23" ht="15" customHeight="1" x14ac:dyDescent="0.25">
      <c r="B35" s="13" t="s">
        <v>75</v>
      </c>
      <c r="C35" s="46">
        <f t="shared" si="0"/>
        <v>3.125</v>
      </c>
      <c r="D35" s="27">
        <v>4</v>
      </c>
      <c r="E35" s="28">
        <v>4</v>
      </c>
      <c r="F35" s="28">
        <v>4</v>
      </c>
      <c r="G35" s="28">
        <v>4</v>
      </c>
      <c r="H35" s="28">
        <v>4</v>
      </c>
      <c r="I35" s="49">
        <v>3</v>
      </c>
      <c r="J35" s="49">
        <v>3</v>
      </c>
      <c r="K35" s="29"/>
      <c r="L35" s="27">
        <v>2</v>
      </c>
      <c r="M35" s="28">
        <v>2</v>
      </c>
      <c r="N35" s="28">
        <v>2</v>
      </c>
      <c r="O35" s="28">
        <v>3</v>
      </c>
      <c r="P35" s="28">
        <v>3</v>
      </c>
      <c r="Q35" s="28">
        <v>3</v>
      </c>
      <c r="R35" s="28">
        <v>3</v>
      </c>
      <c r="S35" s="29"/>
      <c r="T35" s="27">
        <v>3</v>
      </c>
      <c r="U35" s="28">
        <v>3</v>
      </c>
      <c r="V35" s="29"/>
      <c r="W35" s="7" t="s">
        <v>76</v>
      </c>
    </row>
    <row r="36" spans="2:23" ht="15" customHeight="1" x14ac:dyDescent="0.25">
      <c r="B36" s="13" t="s">
        <v>77</v>
      </c>
      <c r="C36" s="46">
        <f t="shared" si="0"/>
        <v>4</v>
      </c>
      <c r="D36" s="27">
        <v>5</v>
      </c>
      <c r="E36" s="28">
        <v>5</v>
      </c>
      <c r="F36" s="28">
        <v>4</v>
      </c>
      <c r="G36" s="28">
        <v>4</v>
      </c>
      <c r="H36" s="28">
        <v>4</v>
      </c>
      <c r="I36" s="55">
        <v>4</v>
      </c>
      <c r="J36" s="28"/>
      <c r="K36" s="29"/>
      <c r="L36" s="27">
        <v>1</v>
      </c>
      <c r="M36" s="28"/>
      <c r="N36" s="28">
        <v>4</v>
      </c>
      <c r="O36" s="28">
        <v>5</v>
      </c>
      <c r="P36" s="28">
        <v>4</v>
      </c>
      <c r="Q36" s="28">
        <v>4</v>
      </c>
      <c r="R36" s="28"/>
      <c r="S36" s="29"/>
      <c r="T36" s="27">
        <v>4</v>
      </c>
      <c r="U36" s="28"/>
      <c r="V36" s="29"/>
      <c r="W36" s="7" t="s">
        <v>78</v>
      </c>
    </row>
    <row r="37" spans="2:23" ht="15" customHeight="1" x14ac:dyDescent="0.25">
      <c r="B37" s="13" t="s">
        <v>79</v>
      </c>
      <c r="C37" s="46">
        <f t="shared" si="0"/>
        <v>3.2857142857142856</v>
      </c>
      <c r="D37" s="27">
        <v>3</v>
      </c>
      <c r="E37" s="28">
        <v>4</v>
      </c>
      <c r="F37" s="28">
        <v>3</v>
      </c>
      <c r="G37" s="28">
        <v>4</v>
      </c>
      <c r="H37" s="28">
        <v>4</v>
      </c>
      <c r="I37" s="55">
        <v>4</v>
      </c>
      <c r="J37" s="28"/>
      <c r="K37" s="29"/>
      <c r="L37" s="27">
        <v>1</v>
      </c>
      <c r="M37" s="28">
        <v>4</v>
      </c>
      <c r="N37" s="28">
        <v>3</v>
      </c>
      <c r="O37" s="28">
        <v>3</v>
      </c>
      <c r="P37" s="28">
        <v>3</v>
      </c>
      <c r="Q37" s="28">
        <v>3</v>
      </c>
      <c r="R37" s="28"/>
      <c r="S37" s="29"/>
      <c r="T37" s="27">
        <v>4</v>
      </c>
      <c r="U37" s="28">
        <v>3</v>
      </c>
      <c r="V37" s="29"/>
      <c r="W37" s="7" t="s">
        <v>80</v>
      </c>
    </row>
    <row r="38" spans="2:23" ht="15" customHeight="1" x14ac:dyDescent="0.25">
      <c r="B38" s="13" t="s">
        <v>81</v>
      </c>
      <c r="C38" s="46">
        <f t="shared" si="0"/>
        <v>3.2142857142857144</v>
      </c>
      <c r="D38" s="27">
        <v>4</v>
      </c>
      <c r="E38" s="28">
        <v>3</v>
      </c>
      <c r="F38" s="28">
        <v>3</v>
      </c>
      <c r="G38" s="28">
        <v>3</v>
      </c>
      <c r="H38" s="28">
        <v>2</v>
      </c>
      <c r="I38" s="55">
        <v>4</v>
      </c>
      <c r="J38" s="28"/>
      <c r="K38" s="29"/>
      <c r="L38" s="27">
        <v>3</v>
      </c>
      <c r="M38" s="28">
        <v>4</v>
      </c>
      <c r="N38" s="28">
        <v>3</v>
      </c>
      <c r="O38" s="28">
        <v>3</v>
      </c>
      <c r="P38" s="28">
        <v>3</v>
      </c>
      <c r="Q38" s="28">
        <v>3</v>
      </c>
      <c r="R38" s="28">
        <v>3</v>
      </c>
      <c r="S38" s="29"/>
      <c r="T38" s="27">
        <v>4</v>
      </c>
      <c r="U38" s="28"/>
      <c r="V38" s="29"/>
      <c r="W38" s="7" t="s">
        <v>82</v>
      </c>
    </row>
    <row r="39" spans="2:23" ht="15" customHeight="1" x14ac:dyDescent="0.25">
      <c r="B39" s="13" t="s">
        <v>83</v>
      </c>
      <c r="C39" s="46">
        <f t="shared" si="0"/>
        <v>2.4666666666666668</v>
      </c>
      <c r="D39" s="27">
        <v>4</v>
      </c>
      <c r="E39" s="28">
        <v>3</v>
      </c>
      <c r="F39" s="28">
        <v>2</v>
      </c>
      <c r="G39" s="28">
        <v>3</v>
      </c>
      <c r="H39" s="28">
        <v>2</v>
      </c>
      <c r="I39" s="49">
        <v>3</v>
      </c>
      <c r="J39" s="28"/>
      <c r="K39" s="29"/>
      <c r="L39" s="27">
        <v>1</v>
      </c>
      <c r="M39" s="28">
        <v>3</v>
      </c>
      <c r="N39" s="28">
        <v>1</v>
      </c>
      <c r="O39" s="28">
        <v>2</v>
      </c>
      <c r="P39" s="28">
        <v>3</v>
      </c>
      <c r="Q39" s="28">
        <v>4</v>
      </c>
      <c r="R39" s="28">
        <v>2</v>
      </c>
      <c r="S39" s="29"/>
      <c r="T39" s="27">
        <v>2</v>
      </c>
      <c r="U39" s="28">
        <v>2</v>
      </c>
      <c r="V39" s="29"/>
      <c r="W39" s="7" t="s">
        <v>84</v>
      </c>
    </row>
    <row r="40" spans="2:23" ht="15" customHeight="1" x14ac:dyDescent="0.25">
      <c r="B40" s="13" t="s">
        <v>85</v>
      </c>
      <c r="C40" s="46">
        <f t="shared" si="0"/>
        <v>2.75</v>
      </c>
      <c r="D40" s="27">
        <v>3</v>
      </c>
      <c r="E40" s="28">
        <v>3</v>
      </c>
      <c r="F40" s="28">
        <v>3</v>
      </c>
      <c r="G40" s="28">
        <v>3</v>
      </c>
      <c r="H40" s="28">
        <v>3</v>
      </c>
      <c r="I40" s="49">
        <v>3</v>
      </c>
      <c r="J40" s="28"/>
      <c r="K40" s="29"/>
      <c r="L40" s="27">
        <v>1</v>
      </c>
      <c r="M40" s="28"/>
      <c r="N40" s="28"/>
      <c r="O40" s="28"/>
      <c r="P40" s="28"/>
      <c r="Q40" s="28"/>
      <c r="R40" s="28"/>
      <c r="S40" s="29"/>
      <c r="T40" s="27">
        <v>3</v>
      </c>
      <c r="U40" s="28"/>
      <c r="V40" s="29"/>
      <c r="W40" s="7" t="s">
        <v>25</v>
      </c>
    </row>
    <row r="41" spans="2:23" ht="15" hidden="1" customHeight="1" x14ac:dyDescent="0.25">
      <c r="B41" s="36" t="s">
        <v>86</v>
      </c>
      <c r="C41" s="47" t="str">
        <f t="shared" si="0"/>
        <v/>
      </c>
      <c r="D41" s="27"/>
      <c r="E41" s="28"/>
      <c r="F41" s="28"/>
      <c r="G41" s="28"/>
      <c r="H41" s="28"/>
      <c r="I41" s="28"/>
      <c r="J41" s="28"/>
      <c r="K41" s="29"/>
      <c r="L41" s="27"/>
      <c r="M41" s="28"/>
      <c r="N41" s="28"/>
      <c r="O41" s="28"/>
      <c r="P41" s="28"/>
      <c r="Q41" s="28"/>
      <c r="R41" s="28"/>
      <c r="S41" s="29"/>
      <c r="T41" s="27"/>
      <c r="U41" s="28"/>
      <c r="V41" s="29"/>
      <c r="W41" s="7" t="s">
        <v>60</v>
      </c>
    </row>
    <row r="42" spans="2:23" ht="15" hidden="1" customHeight="1" x14ac:dyDescent="0.25">
      <c r="B42" s="36" t="s">
        <v>87</v>
      </c>
      <c r="C42" s="47" t="str">
        <f t="shared" si="0"/>
        <v/>
      </c>
      <c r="D42" s="27"/>
      <c r="E42" s="28"/>
      <c r="F42" s="28"/>
      <c r="G42" s="28"/>
      <c r="H42" s="28"/>
      <c r="I42" s="28"/>
      <c r="J42" s="28"/>
      <c r="K42" s="29"/>
      <c r="L42" s="27"/>
      <c r="M42" s="28"/>
      <c r="N42" s="28"/>
      <c r="O42" s="28"/>
      <c r="P42" s="28"/>
      <c r="Q42" s="28"/>
      <c r="R42" s="28"/>
      <c r="S42" s="29"/>
      <c r="T42" s="27"/>
      <c r="U42" s="28"/>
      <c r="V42" s="29"/>
      <c r="W42" s="7" t="s">
        <v>60</v>
      </c>
    </row>
    <row r="43" spans="2:23" ht="15" customHeight="1" x14ac:dyDescent="0.25">
      <c r="B43" s="37" t="s">
        <v>88</v>
      </c>
      <c r="C43" s="48">
        <f t="shared" si="0"/>
        <v>3</v>
      </c>
      <c r="D43" s="30">
        <v>4</v>
      </c>
      <c r="E43" s="31">
        <v>4</v>
      </c>
      <c r="F43" s="31">
        <v>3</v>
      </c>
      <c r="G43" s="31">
        <v>3</v>
      </c>
      <c r="H43" s="31">
        <v>3</v>
      </c>
      <c r="I43" s="62">
        <v>4</v>
      </c>
      <c r="J43" s="31"/>
      <c r="K43" s="32"/>
      <c r="L43" s="30">
        <v>1</v>
      </c>
      <c r="M43" s="31">
        <v>3</v>
      </c>
      <c r="N43" s="31">
        <v>3</v>
      </c>
      <c r="O43" s="31"/>
      <c r="P43" s="31"/>
      <c r="Q43" s="31"/>
      <c r="R43" s="31"/>
      <c r="S43" s="32"/>
      <c r="T43" s="30">
        <v>2</v>
      </c>
      <c r="U43" s="31"/>
      <c r="V43" s="32"/>
      <c r="W43" s="26" t="s">
        <v>89</v>
      </c>
    </row>
    <row r="44" spans="2:23" ht="15" customHeight="1" x14ac:dyDescent="0.25">
      <c r="B44" s="37" t="s">
        <v>90</v>
      </c>
      <c r="C44" s="48">
        <f t="shared" si="0"/>
        <v>2</v>
      </c>
      <c r="D44" s="30">
        <v>2</v>
      </c>
      <c r="E44" s="31">
        <v>2</v>
      </c>
      <c r="F44" s="31">
        <v>2</v>
      </c>
      <c r="G44" s="31">
        <v>2</v>
      </c>
      <c r="H44" s="31">
        <v>2</v>
      </c>
      <c r="I44" s="51">
        <v>2</v>
      </c>
      <c r="J44" s="31"/>
      <c r="K44" s="32"/>
      <c r="L44" s="30">
        <v>1</v>
      </c>
      <c r="M44" s="31">
        <v>2</v>
      </c>
      <c r="N44" s="31">
        <v>1</v>
      </c>
      <c r="O44" s="31">
        <v>3</v>
      </c>
      <c r="P44" s="31">
        <v>3</v>
      </c>
      <c r="Q44" s="31"/>
      <c r="R44" s="31"/>
      <c r="S44" s="32"/>
      <c r="T44" s="30">
        <v>2</v>
      </c>
      <c r="U44" s="31"/>
      <c r="V44" s="32"/>
      <c r="W44" s="26" t="s">
        <v>91</v>
      </c>
    </row>
    <row r="45" spans="2:23" ht="15" customHeight="1" x14ac:dyDescent="0.25">
      <c r="B45" s="37" t="s">
        <v>92</v>
      </c>
      <c r="C45" s="48">
        <f t="shared" si="0"/>
        <v>1.75</v>
      </c>
      <c r="D45" s="30">
        <v>2</v>
      </c>
      <c r="E45" s="31">
        <v>2</v>
      </c>
      <c r="F45" s="31">
        <v>2</v>
      </c>
      <c r="G45" s="31">
        <v>2</v>
      </c>
      <c r="H45" s="31">
        <v>2</v>
      </c>
      <c r="I45" s="52">
        <v>1</v>
      </c>
      <c r="J45" s="31"/>
      <c r="K45" s="32"/>
      <c r="L45" s="30">
        <v>1</v>
      </c>
      <c r="M45" s="31">
        <v>2</v>
      </c>
      <c r="N45" s="31">
        <v>1</v>
      </c>
      <c r="O45" s="31">
        <v>2</v>
      </c>
      <c r="P45" s="31">
        <v>2</v>
      </c>
      <c r="Q45" s="31"/>
      <c r="R45" s="31"/>
      <c r="S45" s="32"/>
      <c r="T45" s="30">
        <v>2</v>
      </c>
      <c r="U45" s="31"/>
      <c r="V45" s="32"/>
      <c r="W45" s="26" t="s">
        <v>91</v>
      </c>
    </row>
    <row r="46" spans="2:23" ht="15" customHeight="1" x14ac:dyDescent="0.25">
      <c r="B46" s="37" t="s">
        <v>93</v>
      </c>
      <c r="C46" s="48">
        <f t="shared" si="0"/>
        <v>2.3333333333333335</v>
      </c>
      <c r="D46" s="30">
        <v>3</v>
      </c>
      <c r="E46" s="31">
        <v>3</v>
      </c>
      <c r="F46" s="31">
        <v>2</v>
      </c>
      <c r="G46" s="31">
        <v>2</v>
      </c>
      <c r="H46" s="31">
        <v>2</v>
      </c>
      <c r="I46" s="61">
        <v>3</v>
      </c>
      <c r="J46" s="31"/>
      <c r="K46" s="32"/>
      <c r="L46" s="30">
        <v>1</v>
      </c>
      <c r="M46" s="31">
        <v>3</v>
      </c>
      <c r="N46" s="31">
        <v>1</v>
      </c>
      <c r="O46" s="31">
        <v>3</v>
      </c>
      <c r="P46" s="31">
        <v>3</v>
      </c>
      <c r="Q46" s="31"/>
      <c r="R46" s="31"/>
      <c r="S46" s="32"/>
      <c r="T46" s="30">
        <v>2</v>
      </c>
      <c r="U46" s="31"/>
      <c r="V46" s="32"/>
      <c r="W46" s="26" t="s">
        <v>91</v>
      </c>
    </row>
    <row r="47" spans="2:23" ht="15" customHeight="1" x14ac:dyDescent="0.25">
      <c r="B47" s="37" t="s">
        <v>94</v>
      </c>
      <c r="C47" s="48">
        <f t="shared" si="0"/>
        <v>2.3333333333333335</v>
      </c>
      <c r="D47" s="30">
        <v>3</v>
      </c>
      <c r="E47" s="31">
        <v>2</v>
      </c>
      <c r="F47" s="31">
        <v>2</v>
      </c>
      <c r="G47" s="31">
        <v>2</v>
      </c>
      <c r="H47" s="31">
        <v>2</v>
      </c>
      <c r="I47" s="61">
        <v>3</v>
      </c>
      <c r="J47" s="31"/>
      <c r="K47" s="32"/>
      <c r="L47" s="30">
        <v>1</v>
      </c>
      <c r="M47" s="31">
        <v>3</v>
      </c>
      <c r="N47" s="31">
        <v>2</v>
      </c>
      <c r="O47" s="31">
        <v>3</v>
      </c>
      <c r="P47" s="31">
        <v>3</v>
      </c>
      <c r="Q47" s="31"/>
      <c r="R47" s="31"/>
      <c r="S47" s="32"/>
      <c r="T47" s="30">
        <v>2</v>
      </c>
      <c r="U47" s="31"/>
      <c r="V47" s="32"/>
      <c r="W47" s="26" t="s">
        <v>91</v>
      </c>
    </row>
    <row r="48" spans="2:23" ht="15" customHeight="1" x14ac:dyDescent="0.25">
      <c r="B48" s="37" t="s">
        <v>95</v>
      </c>
      <c r="C48" s="48">
        <f t="shared" si="0"/>
        <v>2.25</v>
      </c>
      <c r="D48" s="30">
        <v>2</v>
      </c>
      <c r="E48" s="31">
        <v>2</v>
      </c>
      <c r="F48" s="31">
        <v>3</v>
      </c>
      <c r="G48" s="31">
        <v>2</v>
      </c>
      <c r="H48" s="31">
        <v>2</v>
      </c>
      <c r="I48" s="51">
        <v>2</v>
      </c>
      <c r="J48" s="31"/>
      <c r="K48" s="32"/>
      <c r="L48" s="30">
        <v>1</v>
      </c>
      <c r="M48" s="31">
        <v>3</v>
      </c>
      <c r="N48" s="31">
        <v>2</v>
      </c>
      <c r="O48" s="31">
        <v>3</v>
      </c>
      <c r="P48" s="31">
        <v>3</v>
      </c>
      <c r="Q48" s="31"/>
      <c r="R48" s="31"/>
      <c r="S48" s="32"/>
      <c r="T48" s="30">
        <v>2</v>
      </c>
      <c r="U48" s="31"/>
      <c r="V48" s="32"/>
      <c r="W48" s="26" t="s">
        <v>91</v>
      </c>
    </row>
    <row r="49" spans="2:23" ht="15" customHeight="1" x14ac:dyDescent="0.25">
      <c r="B49" s="37" t="s">
        <v>96</v>
      </c>
      <c r="C49" s="48">
        <f t="shared" si="0"/>
        <v>2.1818181818181817</v>
      </c>
      <c r="D49" s="30">
        <v>2</v>
      </c>
      <c r="E49" s="31">
        <v>3</v>
      </c>
      <c r="F49" s="31">
        <v>2</v>
      </c>
      <c r="G49" s="31">
        <v>2</v>
      </c>
      <c r="H49" s="31">
        <v>2</v>
      </c>
      <c r="I49" s="31">
        <v>2</v>
      </c>
      <c r="J49" s="31"/>
      <c r="K49" s="32"/>
      <c r="L49" s="30">
        <v>1</v>
      </c>
      <c r="M49" s="31"/>
      <c r="N49" s="31">
        <v>2</v>
      </c>
      <c r="O49" s="31">
        <v>3</v>
      </c>
      <c r="P49" s="31">
        <v>2</v>
      </c>
      <c r="Q49" s="31"/>
      <c r="R49" s="31"/>
      <c r="S49" s="32"/>
      <c r="T49" s="30">
        <v>3</v>
      </c>
      <c r="U49" s="31"/>
      <c r="V49" s="32"/>
      <c r="W49" s="26"/>
    </row>
    <row r="50" spans="2:23" ht="15" customHeight="1" x14ac:dyDescent="0.25">
      <c r="B50" s="56" t="s">
        <v>97</v>
      </c>
      <c r="C50" s="58">
        <f t="shared" si="0"/>
        <v>2.3333333333333335</v>
      </c>
      <c r="D50" s="33">
        <v>3</v>
      </c>
      <c r="E50" s="34">
        <v>3</v>
      </c>
      <c r="F50" s="34">
        <v>2</v>
      </c>
      <c r="G50" s="34">
        <v>2</v>
      </c>
      <c r="H50" s="34">
        <v>2</v>
      </c>
      <c r="I50" s="60">
        <v>3</v>
      </c>
      <c r="J50" s="34"/>
      <c r="K50" s="35"/>
      <c r="L50" s="33">
        <v>1</v>
      </c>
      <c r="M50" s="34">
        <v>3</v>
      </c>
      <c r="N50" s="34">
        <v>3</v>
      </c>
      <c r="O50" s="34">
        <v>2</v>
      </c>
      <c r="P50" s="34">
        <v>2</v>
      </c>
      <c r="Q50" s="34"/>
      <c r="R50" s="34"/>
      <c r="S50" s="35"/>
      <c r="T50" s="33">
        <v>2</v>
      </c>
      <c r="U50" s="34"/>
      <c r="V50" s="35"/>
      <c r="W50" s="8" t="s">
        <v>91</v>
      </c>
    </row>
    <row r="51" spans="2:23" ht="15" customHeight="1" x14ac:dyDescent="0.25">
      <c r="B51" s="38"/>
      <c r="C51" s="43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2:23" x14ac:dyDescent="0.25"/>
    <row r="53" spans="2:23" x14ac:dyDescent="0.25">
      <c r="B53" s="23" t="s">
        <v>98</v>
      </c>
      <c r="C53" s="4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69"/>
      <c r="W53" s="25"/>
    </row>
    <row r="54" spans="2:23" x14ac:dyDescent="0.25">
      <c r="B54" s="18" t="s">
        <v>99</v>
      </c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1"/>
      <c r="W54" s="19"/>
    </row>
    <row r="55" spans="2:23" x14ac:dyDescent="0.25">
      <c r="B55" s="18" t="s">
        <v>100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1"/>
      <c r="W55" s="19"/>
    </row>
    <row r="56" spans="2:23" x14ac:dyDescent="0.25">
      <c r="B56" s="18" t="s">
        <v>101</v>
      </c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1"/>
      <c r="W56" s="19"/>
    </row>
    <row r="57" spans="2:23" x14ac:dyDescent="0.25">
      <c r="B57" s="18" t="s">
        <v>102</v>
      </c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1"/>
      <c r="W57" s="19"/>
    </row>
    <row r="58" spans="2:23" x14ac:dyDescent="0.25">
      <c r="B58" s="20" t="s">
        <v>103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72"/>
      <c r="W58" s="22"/>
    </row>
  </sheetData>
  <autoFilter ref="B6:W6" xr:uid="{111AC7A4-898A-40F2-8C26-E2B4EBECD368}">
    <sortState xmlns:xlrd2="http://schemas.microsoft.com/office/spreadsheetml/2017/richdata2" ref="B7:W50">
      <sortCondition ref="B6"/>
    </sortState>
  </autoFilter>
  <conditionalFormatting sqref="C7:C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H50 I4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J5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:I5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R5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:T5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:U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:U5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9C20E6FEA1149818259A3B0B0DB8C" ma:contentTypeVersion="11" ma:contentTypeDescription="Create a new document." ma:contentTypeScope="" ma:versionID="d2a75197d3385474bd0a6882070a1dfb">
  <xsd:schema xmlns:xsd="http://www.w3.org/2001/XMLSchema" xmlns:xs="http://www.w3.org/2001/XMLSchema" xmlns:p="http://schemas.microsoft.com/office/2006/metadata/properties" xmlns:ns2="2663fc1d-4df7-44c0-9781-6a2ebaf3546e" xmlns:ns3="7c29d399-a8c0-4a97-bde9-635da9da8c70" targetNamespace="http://schemas.microsoft.com/office/2006/metadata/properties" ma:root="true" ma:fieldsID="d377865dcf2c25178d96296e0971565c" ns2:_="" ns3:_="">
    <xsd:import namespace="2663fc1d-4df7-44c0-9781-6a2ebaf3546e"/>
    <xsd:import namespace="7c29d399-a8c0-4a97-bde9-635da9da8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3fc1d-4df7-44c0-9781-6a2ebaf354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c23ef1-821b-4a29-ab1a-913ceff380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9d399-a8c0-4a97-bde9-635da9da8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a2e0f5-ad93-4fa4-a031-796bdc9d5e69}" ma:internalName="TaxCatchAll" ma:showField="CatchAllData" ma:web="7c29d399-a8c0-4a97-bde9-635da9da8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29d399-a8c0-4a97-bde9-635da9da8c70" xsi:nil="true"/>
    <lcf76f155ced4ddcb4097134ff3c332f xmlns="2663fc1d-4df7-44c0-9781-6a2ebaf354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4E5950-2EB9-44FF-AE7A-954588D4AC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540FD7-7610-42E5-8989-378381074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63fc1d-4df7-44c0-9781-6a2ebaf3546e"/>
    <ds:schemaRef ds:uri="7c29d399-a8c0-4a97-bde9-635da9da8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8AA03A-4629-4934-A48B-F83EA7DAF294}">
  <ds:schemaRefs>
    <ds:schemaRef ds:uri="http://schemas.microsoft.com/office/infopath/2007/PartnerControls"/>
    <ds:schemaRef ds:uri="http://www.w3.org/XML/1998/namespace"/>
    <ds:schemaRef ds:uri="http://purl.org/dc/dcmitype/"/>
    <ds:schemaRef ds:uri="7c29d399-a8c0-4a97-bde9-635da9da8c70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2663fc1d-4df7-44c0-9781-6a2ebaf3546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Shawn Diederich</dc:creator>
  <cp:keywords/>
  <dc:description/>
  <cp:lastModifiedBy>Jack Dohrman</cp:lastModifiedBy>
  <cp:revision/>
  <dcterms:created xsi:type="dcterms:W3CDTF">2025-06-23T12:13:30Z</dcterms:created>
  <dcterms:modified xsi:type="dcterms:W3CDTF">2026-04-01T20:21:10Z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0x0101004E09C20E6FEA1149818259A3B0B0DB8C</vt:lpwstr>
  </property>
  <property fmtid="{D5CDD505-2E9C-101B-9397-08002B2CF9AE}" pid="3" name="MediaServiceImageTags">
    <vt:lpwstr/>
  </property>
</Properties>
</file>