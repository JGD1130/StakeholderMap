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ohrman\Documents\stakeholder-map\public\Data\Utilization\"/>
    </mc:Choice>
  </mc:AlternateContent>
  <xr:revisionPtr revIDLastSave="0" documentId="13_ncr:1_{459ABDC4-A95B-4B4B-AB67-DDC3987DC270}" xr6:coauthVersionLast="47" xr6:coauthVersionMax="47" xr10:uidLastSave="{00000000-0000-0000-0000-000000000000}"/>
  <bookViews>
    <workbookView xWindow="28680" yWindow="-1890" windowWidth="29040" windowHeight="15720" xr2:uid="{17DDACED-C36B-4EB9-9496-827D88E1180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2" i="1"/>
</calcChain>
</file>

<file path=xl/sharedStrings.xml><?xml version="1.0" encoding="utf-8"?>
<sst xmlns="http://schemas.openxmlformats.org/spreadsheetml/2006/main" count="22" uniqueCount="22">
  <si>
    <t>Building &amp; Room</t>
  </si>
  <si>
    <t>Weekly Hours</t>
  </si>
  <si>
    <t>Final Enrollment</t>
  </si>
  <si>
    <t>Total Official Capacity</t>
  </si>
  <si>
    <t>Time Utilization %</t>
  </si>
  <si>
    <t>Seat Utilization %</t>
  </si>
  <si>
    <t>Fleharty Center</t>
  </si>
  <si>
    <t>Gray Center</t>
  </si>
  <si>
    <t>Hurley-McDonald Hall</t>
  </si>
  <si>
    <t>Jackson Dinsdale Art Center</t>
  </si>
  <si>
    <t>Kiewit</t>
  </si>
  <si>
    <t>McCormick Hall</t>
  </si>
  <si>
    <t>Morrison-Reeves Science Center</t>
  </si>
  <si>
    <t>Perkins Library</t>
  </si>
  <si>
    <t>Scott Theatre</t>
  </si>
  <si>
    <t>Theatre</t>
  </si>
  <si>
    <t>Wilson Math and Computer Sci Center</t>
  </si>
  <si>
    <t>Grand Total</t>
  </si>
  <si>
    <t>Overall Utilization</t>
  </si>
  <si>
    <t>148A</t>
  </si>
  <si>
    <t>05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</si>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</sst>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9" fontId="1" fillId="4" borderId="7" xfId="0" applyNumberFormat="1" applyFont="1" applyFill="1" applyBorder="1"/>
    <xf numFmtId="9" fontId="1" fillId="4" borderId="4" xfId="0" applyNumberFormat="1" applyFont="1" applyFill="1" applyBorder="1"/>
    <xf numFmtId="9" fontId="1" fillId="4" borderId="1" xfId="0" applyNumberFormat="1" applyFont="1" applyFill="1" applyBorder="1"/>
    <xf numFmtId="0" fontId="1" fillId="2" borderId="6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indent="1"/>
    </xf>
    <xf numFmtId="0" fontId="3" fillId="5" borderId="9" xfId="0" applyFont="1" applyFill="1" applyBorder="1"/>
    <xf numFmtId="9" fontId="2" fillId="5" borderId="9" xfId="0" applyNumberFormat="1" applyFont="1" applyFill="1" applyBorder="1"/>
    <xf numFmtId="0" fontId="3" fillId="5" borderId="6" xfId="0" applyFont="1" applyFill="1" applyBorder="1" applyAlignment="1">
      <alignment horizontal="left" indent="1"/>
    </xf>
    <xf numFmtId="0" fontId="3" fillId="5" borderId="6" xfId="0" applyFont="1" applyFill="1" applyBorder="1"/>
    <xf numFmtId="9" fontId="2" fillId="5" borderId="6" xfId="0" applyNumberFormat="1" applyFont="1" applyFill="1" applyBorder="1"/>
    <xf numFmtId="0" fontId="3" fillId="5" borderId="5" xfId="0" applyFont="1" applyFill="1" applyBorder="1" applyAlignment="1">
      <alignment horizontal="left" indent="1"/>
    </xf>
    <xf numFmtId="0" fontId="3" fillId="5" borderId="5" xfId="0" applyFont="1" applyFill="1" applyBorder="1"/>
    <xf numFmtId="9" fontId="2" fillId="5" borderId="5" xfId="0" applyNumberFormat="1" applyFont="1" applyFill="1" applyBorder="1"/>
    <xf numFmtId="0" fontId="1" fillId="4" borderId="11" xfId="0" applyFont="1" applyFill="1" applyBorder="1" applyAlignment="1">
      <alignment horizontal="left"/>
    </xf>
    <xf numFmtId="0" fontId="2" fillId="4" borderId="1" xfId="0" applyFont="1" applyFill="1" applyBorder="1"/>
    <xf numFmtId="0" fontId="3" fillId="5" borderId="8" xfId="0" applyFont="1" applyFill="1" applyBorder="1" applyAlignment="1">
      <alignment horizontal="left" indent="1"/>
    </xf>
    <xf numFmtId="0" fontId="3" fillId="5" borderId="8" xfId="0" applyFont="1" applyFill="1" applyBorder="1"/>
    <xf numFmtId="9" fontId="4" fillId="5" borderId="8" xfId="0" applyNumberFormat="1" applyFont="1" applyFill="1" applyBorder="1"/>
    <xf numFmtId="9" fontId="2" fillId="5" borderId="8" xfId="0" applyNumberFormat="1" applyFont="1" applyFill="1" applyBorder="1"/>
    <xf numFmtId="0" fontId="1" fillId="2" borderId="12" xfId="0" applyFont="1" applyFill="1" applyBorder="1" applyAlignment="1">
      <alignment horizontal="center" vertical="center" wrapText="1"/>
    </xf>
    <xf numFmtId="9" fontId="2" fillId="5" borderId="14" xfId="0" applyNumberFormat="1" applyFont="1" applyFill="1" applyBorder="1"/>
    <xf numFmtId="9" fontId="2" fillId="5" borderId="13" xfId="0" applyNumberFormat="1" applyFont="1" applyFill="1" applyBorder="1"/>
    <xf numFmtId="9" fontId="2" fillId="5" borderId="15" xfId="0" applyNumberFormat="1" applyFont="1" applyFill="1" applyBorder="1"/>
    <xf numFmtId="9" fontId="1" fillId="5" borderId="14" xfId="0" applyNumberFormat="1" applyFont="1" applyFill="1" applyBorder="1"/>
    <xf numFmtId="9" fontId="2" fillId="5" borderId="12" xfId="0" applyNumberFormat="1" applyFont="1" applyFill="1" applyBorder="1"/>
    <xf numFmtId="0" fontId="0" fillId="6" borderId="3" xfId="0" applyFill="1" applyBorder="1"/>
    <xf numFmtId="9" fontId="6" fillId="6" borderId="3" xfId="0" applyNumberFormat="1" applyFont="1" applyFill="1" applyBorder="1"/>
    <xf numFmtId="0" fontId="5" fillId="2" borderId="11" xfId="0" applyFont="1" applyFill="1" applyBorder="1" applyAlignment="1">
      <alignment horizontal="left"/>
    </xf>
    <xf numFmtId="3" fontId="5" fillId="2" borderId="1" xfId="0" applyNumberFormat="1" applyFont="1" applyFill="1" applyBorder="1"/>
    <xf numFmtId="9" fontId="5" fillId="3" borderId="1" xfId="0" applyNumberFormat="1" applyFont="1" applyFill="1" applyBorder="1"/>
    <xf numFmtId="9" fontId="5" fillId="3" borderId="4" xfId="0" applyNumberFormat="1" applyFont="1" applyFill="1" applyBorder="1"/>
    <xf numFmtId="49" fontId="3" fillId="5" borderId="5" xfId="0" applyNumberFormat="1" applyFont="1" applyFill="1" applyBorder="1" applyAlignment="1">
      <alignment horizontal="left" indent="1"/>
    </xf>
    <xf numFmtId="49" fontId="3" fillId="5" borderId="9" xfId="0" applyNumberFormat="1" applyFont="1" applyFill="1" applyBorder="1" applyAlignment="1">
      <alignment horizontal="left" indent="1"/>
    </xf>
    <xf numFmtId="9" fontId="7" fillId="8" borderId="3" xfId="0" applyNumberFormat="1" applyFont="1" applyFill="1" applyBorder="1"/>
    <xf numFmtId="9" fontId="6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DBC0-C047-4F0A-A690-85E4BF9D95F9}">
  <dimension ref="A1:L58"/>
  <sheetViews>
    <sheetView tabSelected="1" workbookViewId="0">
      <selection activeCell="J46" sqref="J46"/>
    </sheetView>
  </sheetViews>
  <sheetFormatPr defaultRowHeight="15" x14ac:dyDescent="0.25"/>
  <cols>
    <col min="1" max="6" width="23.5703125" customWidth="1"/>
    <col min="7" max="7" width="25.42578125" customWidth="1"/>
  </cols>
  <sheetData>
    <row r="1" spans="1:12" ht="58.5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1" t="s">
        <v>5</v>
      </c>
      <c r="G1" s="22" t="s">
        <v>18</v>
      </c>
    </row>
    <row r="2" spans="1:12" ht="19.5" thickBot="1" x14ac:dyDescent="0.35">
      <c r="A2" s="16" t="s">
        <v>6</v>
      </c>
      <c r="B2" s="17">
        <v>172.67</v>
      </c>
      <c r="C2" s="17">
        <v>766</v>
      </c>
      <c r="D2" s="17">
        <v>954</v>
      </c>
      <c r="E2" s="3">
        <v>0.36</v>
      </c>
      <c r="F2" s="2">
        <v>0.8</v>
      </c>
      <c r="G2" s="29">
        <f>AVERAGE(E2:F2)</f>
        <v>0.58000000000000007</v>
      </c>
    </row>
    <row r="3" spans="1:12" ht="16.5" thickBot="1" x14ac:dyDescent="0.3">
      <c r="A3" s="13">
        <v>141</v>
      </c>
      <c r="B3" s="14">
        <v>12.67</v>
      </c>
      <c r="C3" s="14">
        <v>86</v>
      </c>
      <c r="D3" s="14">
        <v>90</v>
      </c>
      <c r="E3" s="15">
        <v>0.16</v>
      </c>
      <c r="F3" s="23">
        <v>0.96</v>
      </c>
      <c r="G3" s="36">
        <f t="shared" ref="G3:G58" si="0">AVERAGE(E3:F3)</f>
        <v>0.55999999999999994</v>
      </c>
    </row>
    <row r="4" spans="1:12" ht="16.5" thickBot="1" x14ac:dyDescent="0.3">
      <c r="A4" s="7">
        <v>142</v>
      </c>
      <c r="B4" s="8">
        <v>43.33</v>
      </c>
      <c r="C4" s="8">
        <v>202</v>
      </c>
      <c r="D4" s="8">
        <v>256</v>
      </c>
      <c r="E4" s="9">
        <v>0.54</v>
      </c>
      <c r="F4" s="24">
        <v>0.79</v>
      </c>
      <c r="G4" s="36">
        <f t="shared" si="0"/>
        <v>0.66500000000000004</v>
      </c>
    </row>
    <row r="5" spans="1:12" ht="16.5" thickBot="1" x14ac:dyDescent="0.3">
      <c r="A5" s="7">
        <v>144</v>
      </c>
      <c r="B5" s="8">
        <v>6.67</v>
      </c>
      <c r="C5" s="8">
        <v>16</v>
      </c>
      <c r="D5" s="8">
        <v>32</v>
      </c>
      <c r="E5" s="9">
        <v>0.08</v>
      </c>
      <c r="F5" s="24">
        <v>0.5</v>
      </c>
      <c r="G5" s="36">
        <f t="shared" si="0"/>
        <v>0.28999999999999998</v>
      </c>
    </row>
    <row r="6" spans="1:12" ht="16.5" thickBot="1" x14ac:dyDescent="0.3">
      <c r="A6" s="7">
        <v>145</v>
      </c>
      <c r="B6" s="8">
        <v>21.67</v>
      </c>
      <c r="C6" s="8">
        <v>77</v>
      </c>
      <c r="D6" s="8">
        <v>128</v>
      </c>
      <c r="E6" s="9">
        <v>0.27</v>
      </c>
      <c r="F6" s="24">
        <v>0.6</v>
      </c>
      <c r="G6" s="36">
        <f t="shared" si="0"/>
        <v>0.435</v>
      </c>
    </row>
    <row r="7" spans="1:12" ht="16.5" thickBot="1" x14ac:dyDescent="0.3">
      <c r="A7" s="7">
        <v>146</v>
      </c>
      <c r="B7" s="8">
        <v>40</v>
      </c>
      <c r="C7" s="8">
        <v>168</v>
      </c>
      <c r="D7" s="8">
        <v>192</v>
      </c>
      <c r="E7" s="9">
        <v>0.5</v>
      </c>
      <c r="F7" s="24">
        <v>0.88</v>
      </c>
      <c r="G7" s="36">
        <f t="shared" si="0"/>
        <v>0.69</v>
      </c>
    </row>
    <row r="8" spans="1:12" ht="16.5" thickBot="1" x14ac:dyDescent="0.3">
      <c r="A8" s="10">
        <v>147</v>
      </c>
      <c r="B8" s="11">
        <v>48.33</v>
      </c>
      <c r="C8" s="11">
        <v>217</v>
      </c>
      <c r="D8" s="11">
        <v>256</v>
      </c>
      <c r="E8" s="12">
        <v>0.6</v>
      </c>
      <c r="F8" s="25">
        <v>0.85</v>
      </c>
      <c r="G8" s="36">
        <f t="shared" si="0"/>
        <v>0.72499999999999998</v>
      </c>
    </row>
    <row r="9" spans="1:12" ht="19.5" thickBot="1" x14ac:dyDescent="0.35">
      <c r="A9" s="16" t="s">
        <v>7</v>
      </c>
      <c r="B9" s="17">
        <v>99.67</v>
      </c>
      <c r="C9" s="17">
        <v>328</v>
      </c>
      <c r="D9" s="17">
        <v>595</v>
      </c>
      <c r="E9" s="4">
        <v>0.31</v>
      </c>
      <c r="F9" s="3">
        <v>0.55000000000000004</v>
      </c>
      <c r="G9" s="29">
        <f t="shared" si="0"/>
        <v>0.43000000000000005</v>
      </c>
    </row>
    <row r="10" spans="1:12" ht="19.5" thickBot="1" x14ac:dyDescent="0.35">
      <c r="A10" s="13">
        <v>107</v>
      </c>
      <c r="B10" s="14">
        <v>50.67</v>
      </c>
      <c r="C10" s="14">
        <v>180</v>
      </c>
      <c r="D10" s="14">
        <v>270</v>
      </c>
      <c r="E10" s="15">
        <v>0.63</v>
      </c>
      <c r="F10" s="26">
        <v>0.67</v>
      </c>
      <c r="G10" s="36">
        <f t="shared" si="0"/>
        <v>0.65</v>
      </c>
      <c r="L10" s="28"/>
    </row>
    <row r="11" spans="1:12" ht="16.5" thickBot="1" x14ac:dyDescent="0.3">
      <c r="A11" s="7">
        <v>116</v>
      </c>
      <c r="B11" s="8">
        <v>25.33</v>
      </c>
      <c r="C11" s="8">
        <v>36</v>
      </c>
      <c r="D11" s="8">
        <v>80</v>
      </c>
      <c r="E11" s="9">
        <v>0.32</v>
      </c>
      <c r="F11" s="24">
        <v>0.45</v>
      </c>
      <c r="G11" s="36">
        <f t="shared" si="0"/>
        <v>0.38500000000000001</v>
      </c>
    </row>
    <row r="12" spans="1:12" ht="16.5" thickBot="1" x14ac:dyDescent="0.3">
      <c r="A12" s="10">
        <v>143</v>
      </c>
      <c r="B12" s="11">
        <v>16.329999999999998</v>
      </c>
      <c r="C12" s="11">
        <v>53</v>
      </c>
      <c r="D12" s="11">
        <v>45</v>
      </c>
      <c r="E12" s="12">
        <v>0.2</v>
      </c>
      <c r="F12" s="25">
        <v>1.18</v>
      </c>
      <c r="G12" s="36">
        <f t="shared" si="0"/>
        <v>0.69</v>
      </c>
    </row>
    <row r="13" spans="1:12" ht="19.5" thickBot="1" x14ac:dyDescent="0.35">
      <c r="A13" s="16" t="s">
        <v>8</v>
      </c>
      <c r="B13" s="17">
        <v>180.33</v>
      </c>
      <c r="C13" s="17">
        <v>530</v>
      </c>
      <c r="D13" s="17">
        <v>1264</v>
      </c>
      <c r="E13" s="4">
        <v>0.45</v>
      </c>
      <c r="F13" s="3">
        <v>0.42</v>
      </c>
      <c r="G13" s="29">
        <f t="shared" si="0"/>
        <v>0.435</v>
      </c>
    </row>
    <row r="14" spans="1:12" ht="16.5" thickBot="1" x14ac:dyDescent="0.3">
      <c r="A14" s="34" t="s">
        <v>20</v>
      </c>
      <c r="B14" s="14">
        <v>35</v>
      </c>
      <c r="C14" s="14">
        <v>105</v>
      </c>
      <c r="D14" s="14">
        <v>144</v>
      </c>
      <c r="E14" s="15">
        <v>0.44</v>
      </c>
      <c r="F14" s="23">
        <v>0.73</v>
      </c>
      <c r="G14" s="36">
        <f t="shared" si="0"/>
        <v>0.58499999999999996</v>
      </c>
    </row>
    <row r="15" spans="1:12" ht="16.5" thickBot="1" x14ac:dyDescent="0.3">
      <c r="A15" s="35" t="s">
        <v>21</v>
      </c>
      <c r="B15" s="8">
        <v>6.67</v>
      </c>
      <c r="C15" s="8">
        <v>11</v>
      </c>
      <c r="D15" s="8">
        <v>32</v>
      </c>
      <c r="E15" s="9">
        <v>0.08</v>
      </c>
      <c r="F15" s="24">
        <v>0.34</v>
      </c>
      <c r="G15" s="36">
        <f t="shared" si="0"/>
        <v>0.21000000000000002</v>
      </c>
    </row>
    <row r="16" spans="1:12" ht="16.5" thickBot="1" x14ac:dyDescent="0.3">
      <c r="A16" s="7">
        <v>220</v>
      </c>
      <c r="B16" s="8">
        <v>58.33</v>
      </c>
      <c r="C16" s="8">
        <v>150</v>
      </c>
      <c r="D16" s="8">
        <v>480</v>
      </c>
      <c r="E16" s="9">
        <v>0.73</v>
      </c>
      <c r="F16" s="24">
        <v>0.31</v>
      </c>
      <c r="G16" s="36">
        <f t="shared" si="0"/>
        <v>0.52</v>
      </c>
    </row>
    <row r="17" spans="1:7" ht="16.5" thickBot="1" x14ac:dyDescent="0.3">
      <c r="A17" s="7">
        <v>222</v>
      </c>
      <c r="B17" s="8">
        <v>24.67</v>
      </c>
      <c r="C17" s="8">
        <v>26</v>
      </c>
      <c r="D17" s="8">
        <v>160</v>
      </c>
      <c r="E17" s="9">
        <v>0.31</v>
      </c>
      <c r="F17" s="24">
        <v>0.16</v>
      </c>
      <c r="G17" s="36">
        <f t="shared" si="0"/>
        <v>0.23499999999999999</v>
      </c>
    </row>
    <row r="18" spans="1:7" ht="16.5" thickBot="1" x14ac:dyDescent="0.3">
      <c r="A18" s="10">
        <v>229</v>
      </c>
      <c r="B18" s="11">
        <v>55.67</v>
      </c>
      <c r="C18" s="11">
        <v>238</v>
      </c>
      <c r="D18" s="11">
        <v>448</v>
      </c>
      <c r="E18" s="12">
        <v>0.7</v>
      </c>
      <c r="F18" s="25">
        <v>0.53</v>
      </c>
      <c r="G18" s="36">
        <f t="shared" si="0"/>
        <v>0.61499999999999999</v>
      </c>
    </row>
    <row r="19" spans="1:7" ht="19.5" thickBot="1" x14ac:dyDescent="0.35">
      <c r="A19" s="16" t="s">
        <v>9</v>
      </c>
      <c r="B19" s="17">
        <v>128.83000000000001</v>
      </c>
      <c r="C19" s="17">
        <v>269</v>
      </c>
      <c r="D19" s="17">
        <v>563</v>
      </c>
      <c r="E19" s="4">
        <v>0.2</v>
      </c>
      <c r="F19" s="3">
        <v>0.48</v>
      </c>
      <c r="G19" s="29">
        <f t="shared" si="0"/>
        <v>0.33999999999999997</v>
      </c>
    </row>
    <row r="20" spans="1:7" ht="16.5" thickBot="1" x14ac:dyDescent="0.3">
      <c r="A20" s="13">
        <v>101</v>
      </c>
      <c r="B20" s="14">
        <v>40.33</v>
      </c>
      <c r="C20" s="14">
        <v>92</v>
      </c>
      <c r="D20" s="14">
        <v>280</v>
      </c>
      <c r="E20" s="15">
        <v>0.5</v>
      </c>
      <c r="F20" s="23">
        <v>0.33</v>
      </c>
      <c r="G20" s="36">
        <f t="shared" si="0"/>
        <v>0.41500000000000004</v>
      </c>
    </row>
    <row r="21" spans="1:7" ht="16.5" thickBot="1" x14ac:dyDescent="0.3">
      <c r="A21" s="7">
        <v>107</v>
      </c>
      <c r="B21" s="8">
        <v>10.17</v>
      </c>
      <c r="C21" s="8">
        <v>26</v>
      </c>
      <c r="D21" s="8">
        <v>48</v>
      </c>
      <c r="E21" s="9">
        <v>0.13</v>
      </c>
      <c r="F21" s="24">
        <v>0.54</v>
      </c>
      <c r="G21" s="36">
        <f t="shared" si="0"/>
        <v>0.33500000000000002</v>
      </c>
    </row>
    <row r="22" spans="1:7" ht="16.5" thickBot="1" x14ac:dyDescent="0.3">
      <c r="A22" s="7">
        <v>109</v>
      </c>
      <c r="B22" s="8">
        <v>6.67</v>
      </c>
      <c r="C22" s="8">
        <v>20</v>
      </c>
      <c r="D22" s="8">
        <v>20</v>
      </c>
      <c r="E22" s="9">
        <v>0.08</v>
      </c>
      <c r="F22" s="24">
        <v>1</v>
      </c>
      <c r="G22" s="36">
        <f t="shared" si="0"/>
        <v>0.54</v>
      </c>
    </row>
    <row r="23" spans="1:7" ht="16.5" thickBot="1" x14ac:dyDescent="0.3">
      <c r="A23" s="7">
        <v>110</v>
      </c>
      <c r="B23" s="8">
        <v>20</v>
      </c>
      <c r="C23" s="8">
        <v>36</v>
      </c>
      <c r="D23" s="8">
        <v>72</v>
      </c>
      <c r="E23" s="9">
        <v>0.25</v>
      </c>
      <c r="F23" s="24">
        <v>0.5</v>
      </c>
      <c r="G23" s="36">
        <f t="shared" si="0"/>
        <v>0.375</v>
      </c>
    </row>
    <row r="24" spans="1:7" ht="16.5" thickBot="1" x14ac:dyDescent="0.3">
      <c r="A24" s="7">
        <v>112</v>
      </c>
      <c r="B24" s="8">
        <v>16.670000000000002</v>
      </c>
      <c r="C24" s="8">
        <v>32</v>
      </c>
      <c r="D24" s="8">
        <v>64</v>
      </c>
      <c r="E24" s="9">
        <v>0.21</v>
      </c>
      <c r="F24" s="24">
        <v>0.5</v>
      </c>
      <c r="G24" s="36">
        <f t="shared" si="0"/>
        <v>0.35499999999999998</v>
      </c>
    </row>
    <row r="25" spans="1:7" ht="16.5" thickBot="1" x14ac:dyDescent="0.3">
      <c r="A25" s="7">
        <v>113</v>
      </c>
      <c r="B25" s="8">
        <v>8.33</v>
      </c>
      <c r="C25" s="8">
        <v>20</v>
      </c>
      <c r="D25" s="8">
        <v>28</v>
      </c>
      <c r="E25" s="9">
        <v>0.1</v>
      </c>
      <c r="F25" s="24">
        <v>0.71</v>
      </c>
      <c r="G25" s="36">
        <f t="shared" si="0"/>
        <v>0.40499999999999997</v>
      </c>
    </row>
    <row r="26" spans="1:7" ht="16.5" thickBot="1" x14ac:dyDescent="0.3">
      <c r="A26" s="7">
        <v>120</v>
      </c>
      <c r="B26" s="8">
        <v>20</v>
      </c>
      <c r="C26" s="8">
        <v>31</v>
      </c>
      <c r="D26" s="8">
        <v>39</v>
      </c>
      <c r="E26" s="9">
        <v>0.25</v>
      </c>
      <c r="F26" s="24">
        <v>0.79</v>
      </c>
      <c r="G26" s="36">
        <f t="shared" si="0"/>
        <v>0.52</v>
      </c>
    </row>
    <row r="27" spans="1:7" ht="16.5" thickBot="1" x14ac:dyDescent="0.3">
      <c r="A27" s="10">
        <v>123</v>
      </c>
      <c r="B27" s="11">
        <v>6.67</v>
      </c>
      <c r="C27" s="11">
        <v>12</v>
      </c>
      <c r="D27" s="11">
        <v>12</v>
      </c>
      <c r="E27" s="12">
        <v>0.08</v>
      </c>
      <c r="F27" s="25">
        <v>1</v>
      </c>
      <c r="G27" s="36">
        <f t="shared" si="0"/>
        <v>0.54</v>
      </c>
    </row>
    <row r="28" spans="1:7" ht="19.5" thickBot="1" x14ac:dyDescent="0.35">
      <c r="A28" s="16" t="s">
        <v>10</v>
      </c>
      <c r="B28" s="17">
        <v>82.5</v>
      </c>
      <c r="C28" s="17">
        <v>374</v>
      </c>
      <c r="D28" s="17">
        <v>551</v>
      </c>
      <c r="E28" s="4">
        <v>0.34</v>
      </c>
      <c r="F28" s="3">
        <v>0.68</v>
      </c>
      <c r="G28" s="29">
        <f t="shared" si="0"/>
        <v>0.51</v>
      </c>
    </row>
    <row r="29" spans="1:7" ht="16.5" thickBot="1" x14ac:dyDescent="0.3">
      <c r="A29" s="13">
        <v>113</v>
      </c>
      <c r="B29" s="14">
        <v>38.33</v>
      </c>
      <c r="C29" s="14">
        <v>184</v>
      </c>
      <c r="D29" s="14">
        <v>256</v>
      </c>
      <c r="E29" s="15">
        <v>0.48</v>
      </c>
      <c r="F29" s="23">
        <v>0.72</v>
      </c>
      <c r="G29" s="36">
        <f t="shared" si="0"/>
        <v>0.6</v>
      </c>
    </row>
    <row r="30" spans="1:7" ht="16.5" thickBot="1" x14ac:dyDescent="0.3">
      <c r="A30" s="10">
        <v>116</v>
      </c>
      <c r="B30" s="11">
        <v>40</v>
      </c>
      <c r="C30" s="11">
        <v>165</v>
      </c>
      <c r="D30" s="11">
        <v>270</v>
      </c>
      <c r="E30" s="12">
        <v>0.5</v>
      </c>
      <c r="F30" s="25">
        <v>0.61</v>
      </c>
      <c r="G30" s="36">
        <f t="shared" si="0"/>
        <v>0.55499999999999994</v>
      </c>
    </row>
    <row r="31" spans="1:7" ht="19.5" thickBot="1" x14ac:dyDescent="0.35">
      <c r="A31" s="16" t="s">
        <v>11</v>
      </c>
      <c r="B31" s="17">
        <v>140</v>
      </c>
      <c r="C31" s="17">
        <v>410</v>
      </c>
      <c r="D31" s="17">
        <v>648</v>
      </c>
      <c r="E31" s="4">
        <v>0.44</v>
      </c>
      <c r="F31" s="3">
        <v>0.63</v>
      </c>
      <c r="G31" s="29">
        <f t="shared" si="0"/>
        <v>0.53500000000000003</v>
      </c>
    </row>
    <row r="32" spans="1:7" ht="16.5" thickBot="1" x14ac:dyDescent="0.3">
      <c r="A32" s="13">
        <v>111</v>
      </c>
      <c r="B32" s="14">
        <v>40</v>
      </c>
      <c r="C32" s="14">
        <v>102</v>
      </c>
      <c r="D32" s="14">
        <v>144</v>
      </c>
      <c r="E32" s="15">
        <v>0.5</v>
      </c>
      <c r="F32" s="23">
        <v>0.71</v>
      </c>
      <c r="G32" s="36">
        <f t="shared" si="0"/>
        <v>0.60499999999999998</v>
      </c>
    </row>
    <row r="33" spans="1:7" ht="16.5" thickBot="1" x14ac:dyDescent="0.3">
      <c r="A33" s="7">
        <v>220</v>
      </c>
      <c r="B33" s="8">
        <v>26.67</v>
      </c>
      <c r="C33" s="8">
        <v>60</v>
      </c>
      <c r="D33" s="8">
        <v>96</v>
      </c>
      <c r="E33" s="9">
        <v>0.33</v>
      </c>
      <c r="F33" s="24">
        <v>0.63</v>
      </c>
      <c r="G33" s="36">
        <f t="shared" si="0"/>
        <v>0.48</v>
      </c>
    </row>
    <row r="34" spans="1:7" ht="16.5" thickBot="1" x14ac:dyDescent="0.3">
      <c r="A34" s="7">
        <v>221</v>
      </c>
      <c r="B34" s="8">
        <v>13.33</v>
      </c>
      <c r="C34" s="8">
        <v>30</v>
      </c>
      <c r="D34" s="8">
        <v>48</v>
      </c>
      <c r="E34" s="9">
        <v>0.17</v>
      </c>
      <c r="F34" s="24">
        <v>0.63</v>
      </c>
      <c r="G34" s="36">
        <f t="shared" si="0"/>
        <v>0.4</v>
      </c>
    </row>
    <row r="35" spans="1:7" ht="16.5" thickBot="1" x14ac:dyDescent="0.3">
      <c r="A35" s="10">
        <v>224</v>
      </c>
      <c r="B35" s="11">
        <v>60</v>
      </c>
      <c r="C35" s="11">
        <v>218</v>
      </c>
      <c r="D35" s="11">
        <v>360</v>
      </c>
      <c r="E35" s="12">
        <v>0.75</v>
      </c>
      <c r="F35" s="25">
        <v>0.61</v>
      </c>
      <c r="G35" s="36">
        <f t="shared" si="0"/>
        <v>0.67999999999999994</v>
      </c>
    </row>
    <row r="36" spans="1:7" ht="19.5" thickBot="1" x14ac:dyDescent="0.35">
      <c r="A36" s="16" t="s">
        <v>12</v>
      </c>
      <c r="B36" s="17">
        <v>368</v>
      </c>
      <c r="C36" s="17">
        <v>1404</v>
      </c>
      <c r="D36" s="17">
        <v>2602</v>
      </c>
      <c r="E36" s="4">
        <v>0.38</v>
      </c>
      <c r="F36" s="3">
        <v>0.54</v>
      </c>
      <c r="G36" s="29">
        <f t="shared" si="0"/>
        <v>0.46</v>
      </c>
    </row>
    <row r="37" spans="1:7" ht="16.5" thickBot="1" x14ac:dyDescent="0.3">
      <c r="A37" s="13">
        <v>121</v>
      </c>
      <c r="B37" s="14">
        <v>36.67</v>
      </c>
      <c r="C37" s="14">
        <v>93</v>
      </c>
      <c r="D37" s="14">
        <v>270</v>
      </c>
      <c r="E37" s="15">
        <v>0.46</v>
      </c>
      <c r="F37" s="23">
        <v>0.34</v>
      </c>
      <c r="G37" s="36">
        <f t="shared" si="0"/>
        <v>0.4</v>
      </c>
    </row>
    <row r="38" spans="1:7" ht="16.5" thickBot="1" x14ac:dyDescent="0.3">
      <c r="A38" s="7">
        <v>131</v>
      </c>
      <c r="B38" s="8">
        <v>38.33</v>
      </c>
      <c r="C38" s="8">
        <v>245</v>
      </c>
      <c r="D38" s="8">
        <v>320</v>
      </c>
      <c r="E38" s="9">
        <v>0.48</v>
      </c>
      <c r="F38" s="24">
        <v>0.77</v>
      </c>
      <c r="G38" s="36">
        <f t="shared" si="0"/>
        <v>0.625</v>
      </c>
    </row>
    <row r="39" spans="1:7" ht="16.5" thickBot="1" x14ac:dyDescent="0.3">
      <c r="A39" s="7">
        <v>136</v>
      </c>
      <c r="B39" s="8">
        <v>16.670000000000002</v>
      </c>
      <c r="C39" s="8">
        <v>82</v>
      </c>
      <c r="D39" s="8">
        <v>96</v>
      </c>
      <c r="E39" s="9">
        <v>0.42</v>
      </c>
      <c r="F39" s="24">
        <v>0.85</v>
      </c>
      <c r="G39" s="36">
        <f t="shared" si="0"/>
        <v>0.63500000000000001</v>
      </c>
    </row>
    <row r="40" spans="1:7" ht="16.5" thickBot="1" x14ac:dyDescent="0.3">
      <c r="A40" s="7">
        <v>141</v>
      </c>
      <c r="B40" s="8">
        <v>16.670000000000002</v>
      </c>
      <c r="C40" s="8">
        <v>56</v>
      </c>
      <c r="D40" s="8">
        <v>72</v>
      </c>
      <c r="E40" s="9">
        <v>0.21</v>
      </c>
      <c r="F40" s="24">
        <v>0.78</v>
      </c>
      <c r="G40" s="36">
        <f t="shared" si="0"/>
        <v>0.495</v>
      </c>
    </row>
    <row r="41" spans="1:7" ht="16.5" thickBot="1" x14ac:dyDescent="0.3">
      <c r="A41" s="7">
        <v>144</v>
      </c>
      <c r="B41" s="8">
        <v>28.33</v>
      </c>
      <c r="C41" s="8">
        <v>64</v>
      </c>
      <c r="D41" s="8">
        <v>140</v>
      </c>
      <c r="E41" s="9">
        <v>0.35</v>
      </c>
      <c r="F41" s="24">
        <v>0.46</v>
      </c>
      <c r="G41" s="36">
        <f t="shared" si="0"/>
        <v>0.40500000000000003</v>
      </c>
    </row>
    <row r="42" spans="1:7" ht="16.5" thickBot="1" x14ac:dyDescent="0.3">
      <c r="A42" s="7" t="s">
        <v>19</v>
      </c>
      <c r="B42" s="8">
        <v>27.33</v>
      </c>
      <c r="C42" s="8">
        <v>111</v>
      </c>
      <c r="D42" s="8">
        <v>200</v>
      </c>
      <c r="E42" s="9">
        <v>0.34</v>
      </c>
      <c r="F42" s="24">
        <v>0.56000000000000005</v>
      </c>
      <c r="G42" s="36">
        <f t="shared" si="0"/>
        <v>0.45000000000000007</v>
      </c>
    </row>
    <row r="43" spans="1:7" ht="16.5" thickBot="1" x14ac:dyDescent="0.3">
      <c r="A43" s="7">
        <v>212</v>
      </c>
      <c r="B43" s="8">
        <v>41.67</v>
      </c>
      <c r="C43" s="8">
        <v>168</v>
      </c>
      <c r="D43" s="8">
        <v>224</v>
      </c>
      <c r="E43" s="9">
        <v>0.52</v>
      </c>
      <c r="F43" s="24">
        <v>0.75</v>
      </c>
      <c r="G43" s="36">
        <f t="shared" si="0"/>
        <v>0.63500000000000001</v>
      </c>
    </row>
    <row r="44" spans="1:7" ht="16.5" thickBot="1" x14ac:dyDescent="0.3">
      <c r="A44" s="7">
        <v>213</v>
      </c>
      <c r="B44" s="8">
        <v>35</v>
      </c>
      <c r="C44" s="8">
        <v>118</v>
      </c>
      <c r="D44" s="8">
        <v>192</v>
      </c>
      <c r="E44" s="9">
        <v>0.44</v>
      </c>
      <c r="F44" s="24">
        <v>0.61</v>
      </c>
      <c r="G44" s="36">
        <f t="shared" si="0"/>
        <v>0.52500000000000002</v>
      </c>
    </row>
    <row r="45" spans="1:7" ht="16.5" thickBot="1" x14ac:dyDescent="0.3">
      <c r="A45" s="7">
        <v>219</v>
      </c>
      <c r="B45" s="8">
        <v>42.33</v>
      </c>
      <c r="C45" s="8">
        <v>217</v>
      </c>
      <c r="D45" s="8">
        <v>720</v>
      </c>
      <c r="E45" s="9">
        <v>0.53</v>
      </c>
      <c r="F45" s="24">
        <v>0.3</v>
      </c>
      <c r="G45" s="36">
        <f t="shared" si="0"/>
        <v>0.41500000000000004</v>
      </c>
    </row>
    <row r="46" spans="1:7" ht="16.5" thickBot="1" x14ac:dyDescent="0.3">
      <c r="A46" s="7">
        <v>220</v>
      </c>
      <c r="B46" s="8">
        <v>38.33</v>
      </c>
      <c r="C46" s="8">
        <v>39</v>
      </c>
      <c r="D46" s="8">
        <v>128</v>
      </c>
      <c r="E46" s="9">
        <v>0.48</v>
      </c>
      <c r="F46" s="24">
        <v>0.3</v>
      </c>
      <c r="G46" s="36">
        <f t="shared" si="0"/>
        <v>0.39</v>
      </c>
    </row>
    <row r="47" spans="1:7" ht="16.5" thickBot="1" x14ac:dyDescent="0.3">
      <c r="A47" s="7">
        <v>230</v>
      </c>
      <c r="B47" s="8">
        <v>15</v>
      </c>
      <c r="C47" s="8">
        <v>65</v>
      </c>
      <c r="D47" s="8">
        <v>72</v>
      </c>
      <c r="E47" s="9">
        <v>0.19</v>
      </c>
      <c r="F47" s="24">
        <v>0.9</v>
      </c>
      <c r="G47" s="36">
        <f t="shared" si="0"/>
        <v>0.54500000000000004</v>
      </c>
    </row>
    <row r="48" spans="1:7" ht="16.5" thickBot="1" x14ac:dyDescent="0.3">
      <c r="A48" s="10">
        <v>240</v>
      </c>
      <c r="B48" s="11">
        <v>31.67</v>
      </c>
      <c r="C48" s="11">
        <v>146</v>
      </c>
      <c r="D48" s="11">
        <v>168</v>
      </c>
      <c r="E48" s="12">
        <v>0.4</v>
      </c>
      <c r="F48" s="25">
        <v>0.87</v>
      </c>
      <c r="G48" s="36">
        <f t="shared" si="0"/>
        <v>0.63500000000000001</v>
      </c>
    </row>
    <row r="49" spans="1:7" ht="19.5" thickBot="1" x14ac:dyDescent="0.35">
      <c r="A49" s="16" t="s">
        <v>13</v>
      </c>
      <c r="B49" s="17">
        <v>6.67</v>
      </c>
      <c r="C49" s="17">
        <v>20</v>
      </c>
      <c r="D49" s="17">
        <v>20</v>
      </c>
      <c r="E49" s="4">
        <v>0.08</v>
      </c>
      <c r="F49" s="3">
        <v>1</v>
      </c>
      <c r="G49" s="29">
        <f t="shared" si="0"/>
        <v>0.54</v>
      </c>
    </row>
    <row r="50" spans="1:7" ht="16.5" thickBot="1" x14ac:dyDescent="0.3">
      <c r="A50" s="18">
        <v>206</v>
      </c>
      <c r="B50" s="19">
        <v>6.67</v>
      </c>
      <c r="C50" s="19">
        <v>20</v>
      </c>
      <c r="D50" s="19">
        <v>20</v>
      </c>
      <c r="E50" s="21">
        <v>0.08</v>
      </c>
      <c r="F50" s="27">
        <v>1</v>
      </c>
      <c r="G50" s="36">
        <f t="shared" si="0"/>
        <v>0.54</v>
      </c>
    </row>
    <row r="51" spans="1:7" ht="19.5" thickBot="1" x14ac:dyDescent="0.35">
      <c r="A51" s="16" t="s">
        <v>14</v>
      </c>
      <c r="B51" s="17">
        <v>33.33</v>
      </c>
      <c r="C51" s="17">
        <v>75</v>
      </c>
      <c r="D51" s="17">
        <v>100</v>
      </c>
      <c r="E51" s="4">
        <v>0.42</v>
      </c>
      <c r="F51" s="3">
        <v>0.75</v>
      </c>
      <c r="G51" s="29">
        <f t="shared" si="0"/>
        <v>0.58499999999999996</v>
      </c>
    </row>
    <row r="52" spans="1:7" ht="16.5" thickBot="1" x14ac:dyDescent="0.3">
      <c r="A52" s="18" t="s">
        <v>15</v>
      </c>
      <c r="B52" s="19">
        <v>33.33</v>
      </c>
      <c r="C52" s="19">
        <v>75</v>
      </c>
      <c r="D52" s="19">
        <v>100</v>
      </c>
      <c r="E52" s="20">
        <v>0.42</v>
      </c>
      <c r="F52" s="27">
        <v>0.75</v>
      </c>
      <c r="G52" s="36">
        <f t="shared" si="0"/>
        <v>0.58499999999999996</v>
      </c>
    </row>
    <row r="53" spans="1:7" ht="19.5" thickBot="1" x14ac:dyDescent="0.35">
      <c r="A53" s="16" t="s">
        <v>16</v>
      </c>
      <c r="B53" s="17">
        <v>89</v>
      </c>
      <c r="C53" s="17">
        <v>299</v>
      </c>
      <c r="D53" s="17">
        <v>604</v>
      </c>
      <c r="E53" s="4">
        <v>0.28000000000000003</v>
      </c>
      <c r="F53" s="3">
        <v>0.5</v>
      </c>
      <c r="G53" s="29">
        <f t="shared" si="0"/>
        <v>0.39</v>
      </c>
    </row>
    <row r="54" spans="1:7" ht="19.5" thickBot="1" x14ac:dyDescent="0.35">
      <c r="A54" s="13">
        <v>20</v>
      </c>
      <c r="B54" s="14">
        <v>8.33</v>
      </c>
      <c r="C54" s="14">
        <v>18</v>
      </c>
      <c r="D54" s="14">
        <v>48</v>
      </c>
      <c r="E54" s="15">
        <v>0.1</v>
      </c>
      <c r="F54" s="26">
        <v>0.38</v>
      </c>
      <c r="G54" s="36">
        <f t="shared" si="0"/>
        <v>0.24</v>
      </c>
    </row>
    <row r="55" spans="1:7" ht="16.5" thickBot="1" x14ac:dyDescent="0.3">
      <c r="A55" s="7">
        <v>30</v>
      </c>
      <c r="B55" s="8">
        <v>28.33</v>
      </c>
      <c r="C55" s="8">
        <v>99</v>
      </c>
      <c r="D55" s="8">
        <v>160</v>
      </c>
      <c r="E55" s="9">
        <v>0.35</v>
      </c>
      <c r="F55" s="24">
        <v>0.62</v>
      </c>
      <c r="G55" s="36">
        <f t="shared" si="0"/>
        <v>0.48499999999999999</v>
      </c>
    </row>
    <row r="56" spans="1:7" ht="16.5" thickBot="1" x14ac:dyDescent="0.3">
      <c r="A56" s="7">
        <v>120</v>
      </c>
      <c r="B56" s="8">
        <v>21.67</v>
      </c>
      <c r="C56" s="8">
        <v>74</v>
      </c>
      <c r="D56" s="8">
        <v>144</v>
      </c>
      <c r="E56" s="9">
        <v>0.27</v>
      </c>
      <c r="F56" s="24">
        <v>0.51</v>
      </c>
      <c r="G56" s="36">
        <f t="shared" si="0"/>
        <v>0.39</v>
      </c>
    </row>
    <row r="57" spans="1:7" ht="16.5" thickBot="1" x14ac:dyDescent="0.3">
      <c r="A57" s="10">
        <v>130</v>
      </c>
      <c r="B57" s="11">
        <v>30.67</v>
      </c>
      <c r="C57" s="11">
        <v>108</v>
      </c>
      <c r="D57" s="11">
        <v>252</v>
      </c>
      <c r="E57" s="12">
        <v>0.38</v>
      </c>
      <c r="F57" s="25">
        <v>0.43</v>
      </c>
      <c r="G57" s="36">
        <f t="shared" si="0"/>
        <v>0.40500000000000003</v>
      </c>
    </row>
    <row r="58" spans="1:7" ht="21.75" thickBot="1" x14ac:dyDescent="0.4">
      <c r="A58" s="30" t="s">
        <v>17</v>
      </c>
      <c r="B58" s="31">
        <v>1321</v>
      </c>
      <c r="C58" s="31">
        <v>4516</v>
      </c>
      <c r="D58" s="31">
        <v>8049</v>
      </c>
      <c r="E58" s="32">
        <v>0.34</v>
      </c>
      <c r="F58" s="33">
        <v>0.56000000000000005</v>
      </c>
      <c r="G58" s="37">
        <f t="shared" si="0"/>
        <v>0.45000000000000007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Dohrman</dc:creator>
  <cp:lastModifiedBy>Jack Dohrman</cp:lastModifiedBy>
  <dcterms:created xsi:type="dcterms:W3CDTF">2026-01-26T22:02:49Z</dcterms:created>
  <dcterms:modified xsi:type="dcterms:W3CDTF">2026-01-28T17:32:18Z</dcterms:modified>
</cp:coreProperties>
</file>